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23fac51f5e49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lectrical QTO" sheetId="1" r:id="R4440e180ec674db6"/>
    <x:sheet xmlns:r="http://schemas.openxmlformats.org/officeDocument/2006/relationships" name="Assemblies" sheetId="2" r:id="R31513e2b82164aed"/>
  </x:sheets>
</x:workbook>
</file>

<file path=xl/sharedStrings.xml><?xml version="1.0" encoding="utf-8"?>
<x:sst xmlns:x="http://schemas.openxmlformats.org/spreadsheetml/2006/main">
  <x:si>
    <x:t xml:space="preserve">TOTAL
QTY</x:t>
  </x:si>
  <x:si>
    <x:t xml:space="preserve">Draw pits / manholes</x:t>
  </x:si>
  <x:si>
    <x:t xml:space="preserve">LED downlight</x:t>
  </x:si>
  <x:si>
    <x:t xml:space="preserve">External / floodlight</x:t>
  </x:si>
  <x:si>
    <x:t xml:space="preserve">Emergency luminaire (maintained)</x:t>
  </x:si>
  <x:si>
    <x:t xml:space="preserve">Emergency luminaire (non-maintained)</x:t>
  </x:si>
  <x:si>
    <x:t xml:space="preserve">Exit sign luminaire</x:t>
  </x:si>
  <x:si>
    <x:t xml:space="preserve">Dimmer / lighting control module</x:t>
  </x:si>
  <x:si>
    <x:t xml:space="preserve">Capacitor bank / PFC unit</x:t>
  </x:si>
  <x:si>
    <x:t xml:space="preserve">Transformer (kVA: ___)</x:t>
  </x:si>
  <x:si>
    <x:t xml:space="preserve">UPS system (kVA: ___)</x:t>
  </x:si>
  <x:si>
    <x:t xml:space="preserve">Generator (kVA: ___)</x:t>
  </x:si>
  <x:si>
    <x:t xml:space="preserve">Double GPO</x:t>
  </x:si>
  <x:si>
    <x:t xml:space="preserve">Weatherproof GPO (IP56)</x:t>
  </x:si>
  <x:si>
    <x:t xml:space="preserve">Dedicated outlet (equipment)</x:t>
  </x:si>
  <x:si>
    <x:t xml:space="preserve">20A/32A industrial outlet</x:t>
  </x:si>
  <x:si>
    <x:t xml:space="preserve">Isolator switch</x:t>
  </x:si>
  <x:si>
    <x:t xml:space="preserve">Smoke detector (photoelectric)</x:t>
  </x:si>
  <x:si>
    <x:t xml:space="preserve">Heat detector</x:t>
  </x:si>
  <x:si>
    <x:t xml:space="preserve">Beam detector</x:t>
  </x:si>
  <x:si>
    <x:t xml:space="preserve">Manual call point (MCP/break glass)</x:t>
  </x:si>
  <x:si>
    <x:t xml:space="preserve">Speaker (EWIS/voice evacuation)</x:t>
  </x:si>
  <x:si>
    <x:t xml:space="preserve">Patch panel (24-port)</x:t>
  </x:si>
  <x:si>
    <x:t xml:space="preserve">Comms rack / cabinet</x:t>
  </x:si>
  <x:si>
    <x:t xml:space="preserve">WAP (wireless access point)</x:t>
  </x:si>
  <x:si>
    <x:t xml:space="preserve">CCTV camera</x:t>
  </x:si>
  <x:si>
    <x:t xml:space="preserve">Access control reader</x:t>
  </x:si>
  <x:si>
    <x:t xml:space="preserve">PA speaker</x:t>
  </x:si>
  <x:si>
    <x:t xml:space="preserve">Earth electrode / rod</x:t>
  </x:si>
  <x:si>
    <x:t xml:space="preserve">Earth bar</x:t>
  </x:si>
  <x:si>
    <x:t xml:space="preserve">Lightning down conductor</x:t>
  </x:si>
  <x:si>
    <x:t xml:space="preserve">Equipotential bonding</x:t>
  </x:si>
  <x:si>
    <x:t xml:space="preserve">Assembly
Ref</x:t>
  </x:si>
  <x:si>
    <x:t xml:space="preserve">Extended
Qty</x:t>
  </x:si>
  <x:si>
    <x:t xml:space="preserve">P</x:t>
  </x:si>
  <x:si>
    <x:t xml:space="preserve">Circuit breaker (share of)</x:t>
  </x:si>
  <x:si>
    <x:t xml:space="preserve">Labour - electrician T&amp;C</x:t>
  </x:si>
  <x:si>
    <x:t xml:space="preserve">Test &amp; commission</x:t>
  </x:si>
  <x:si>
    <x:t xml:space="preserve">Labour - apprentice/offsider</x:t>
  </x:si>
  <x:si>
    <x:t xml:space="preserve">Scissor lift / mobile platform</x:t>
  </x:si>
  <x:si>
    <x:t xml:space="preserve">ASSEMBLY 1 SUBTOTAL</x:t>
  </x:si>
  <x:si>
    <x:t xml:space="preserve">QTO Ref 4.2</x:t>
  </x:si>
  <x:si>
    <x:t xml:space="preserve">LED downlight complete</x:t>
  </x:si>
  <x:si>
    <x:t xml:space="preserve">Downlight mounting ring / spring clips</x:t>
  </x:si>
  <x:si>
    <x:t xml:space="preserve">LED driver (if remote)</x:t>
  </x:si>
  <x:si>
    <x:t xml:space="preserve">30% remote driver</x:t>
  </x:si>
  <x:si>
    <x:t xml:space="preserve">ASSEMBLY 2 SUBTOTAL</x:t>
  </x:si>
  <x:si>
    <x:t xml:space="preserve">QTO Ref 4.3</x:t>
  </x:si>
  <x:si>
    <x:t xml:space="preserve">50% suspended</x:t>
  </x:si>
  <x:si>
    <x:t xml:space="preserve">ASSEMBLY 3 SUBTOTAL</x:t>
  </x:si>
  <x:si>
    <x:t xml:space="preserve">QTO Ref 4.4</x:t>
  </x:si>
  <x:si>
    <x:t xml:space="preserve">Suspension chain / hook set</x:t>
  </x:si>
  <x:si>
    <x:t xml:space="preserve">Longer runs in warehouse</x:t>
  </x:si>
  <x:si>
    <x:t xml:space="preserve">~7 per MCB</x:t>
  </x:si>
  <x:si>
    <x:t xml:space="preserve">Boom lift / EWP</x:t>
  </x:si>
  <x:si>
    <x:t xml:space="preserve">Safety harness (per use)</x:t>
  </x:si>
  <x:si>
    <x:t xml:space="preserve">ASSEMBLY 4 SUBTOTAL</x:t>
  </x:si>
  <x:si>
    <x:t xml:space="preserve">QTO Ref 4.7/4.8</x:t>
  </x:si>
  <x:si>
    <x:t xml:space="preserve">Emergency luminaire (maintained/non-maint)</x:t>
  </x:si>
  <x:si>
    <x:t xml:space="preserve">300mm centres</x:t>
  </x:si>
  <x:si>
    <x:t xml:space="preserve">Dedicated EM circuit</x:t>
  </x:si>
  <x:si>
    <x:t xml:space="preserve">Fire-rated fixing</x:t>
  </x:si>
  <x:si>
    <x:t xml:space="preserve">Battery test included</x:t>
  </x:si>
  <x:si>
    <x:t xml:space="preserve">ASSEMBLY 5 SUBTOTAL</x:t>
  </x:si>
  <x:si>
    <x:t xml:space="preserve">QTO Ref 4.9</x:t>
  </x:si>
  <x:si>
    <x:t xml:space="preserve">ASSEMBLY 6 SUBTOTAL</x:t>
  </x:si>
  <x:si>
    <x:t xml:space="preserve">QTO Ref 6.2</x:t>
  </x:si>
  <x:si>
    <x:t xml:space="preserve">Double GPO mechanism + plate</x:t>
  </x:si>
  <x:si>
    <x:t xml:space="preserve">~6-8 per MCB</x:t>
  </x:si>
  <x:si>
    <x:t xml:space="preserve">RCD protection (share of)</x:t>
  </x:si>
  <x:si>
    <x:t xml:space="preserve">Shared RCBO</x:t>
  </x:si>
  <x:si>
    <x:t xml:space="preserve">Labour - electrician 1st fix</x:t>
  </x:si>
  <x:si>
    <x:t xml:space="preserve">Labour - electrician 2nd fix</x:t>
  </x:si>
  <x:si>
    <x:t xml:space="preserve">Terminate &amp; fit</x:t>
  </x:si>
  <x:si>
    <x:t xml:space="preserve">Step ladder</x:t>
  </x:si>
  <x:si>
    <x:t xml:space="preserve">ASSEMBLY 7 SUBTOTAL</x:t>
  </x:si>
  <x:si>
    <x:t xml:space="preserve">QTO Ref 6.1</x:t>
  </x:si>
  <x:si>
    <x:t xml:space="preserve">ASSEMBLY 8 SUBTOTAL</x:t>
  </x:si>
  <x:si>
    <x:t xml:space="preserve">QTO Ref 1.1-1.3</x:t>
  </x:si>
  <x:si>
    <x:t xml:space="preserve">1 per 3m length</x:t>
  </x:si>
  <x:si>
    <x:t xml:space="preserve">1 per 2m</x:t>
  </x:si>
  <x:si>
    <x:t xml:space="preserve">Concrete anchor / fixing</x:t>
  </x:si>
  <x:si>
    <x:t xml:space="preserve">2 per bracket</x:t>
  </x:si>
  <x:si>
    <x:t xml:space="preserve">Earth bonding strap</x:t>
  </x:si>
  <x:si>
    <x:t xml:space="preserve">At each joint</x:t>
  </x:si>
  <x:si>
    <x:t xml:space="preserve">50% coverage</x:t>
  </x:si>
  <x:si>
    <x:t xml:space="preserve">Scissor lift / EWP</x:t>
  </x:si>
  <x:si>
    <x:t xml:space="preserve">Power tools / drill</x:t>
  </x:si>
  <x:si>
    <x:t xml:space="preserve">ASSEMBLY 9 SUBTOTAL</x:t>
  </x:si>
  <x:si>
    <x:t xml:space="preserve">QTO Ref 2.6-2.8</x:t>
  </x:si>
  <x:si>
    <x:t xml:space="preserve">50mm</x:t>
  </x:si>
  <x:si>
    <x:t xml:space="preserve">1 per 6m length</x:t>
  </x:si>
  <x:si>
    <x:t xml:space="preserve">m³</x:t>
  </x:si>
  <x:si>
    <x:t xml:space="preserve">100mm bed + surround</x:t>
  </x:si>
  <x:si>
    <x:t xml:space="preserve">Draw rope / pull wire</x:t>
  </x:si>
  <x:si>
    <x:t xml:space="preserve">10% extra</x:t>
  </x:si>
  <x:si>
    <x:t xml:space="preserve">Labour - electrician</x:t>
  </x:si>
  <x:si>
    <x:t xml:space="preserve">Laying &amp; jointing</x:t>
  </x:si>
  <x:si>
    <x:t xml:space="preserve">Labour - labourer (trenching)</x:t>
  </x:si>
  <x:si>
    <x:t xml:space="preserve">Hand dig / assist</x:t>
  </x:si>
  <x:si>
    <x:t xml:space="preserve">Machine dig</x:t>
  </x:si>
  <x:si>
    <x:t xml:space="preserve">Plate compactor</x:t>
  </x:si>
  <x:si>
    <x:t xml:space="preserve">ASSEMBLY 10 SUBTOTAL</x:t>
  </x:si>
  <x:si>
    <x:t xml:space="preserve">QTO Ref 7.1</x:t>
  </x:si>
  <x:si>
    <x:t xml:space="preserve">Smoke detector (photoelectric) + base</x:t>
  </x:si>
  <x:si>
    <x:t xml:space="preserve">Detector base / mounting plate</x:t>
  </x:si>
  <x:si>
    <x:t xml:space="preserve">Shared between 2</x:t>
  </x:si>
  <x:si>
    <x:t xml:space="preserve">End-of-line resistor (share of)</x:t>
  </x:si>
  <x:si>
    <x:t xml:space="preserve">1 per 20 devices</x:t>
  </x:si>
  <x:si>
    <x:t xml:space="preserve">Program &amp; commission</x:t>
  </x:si>
  <x:si>
    <x:t xml:space="preserve">ASSEMBLY 11 SUBTOTAL</x:t>
  </x:si>
  <x:si>
    <x:t xml:space="preserve">QTO Ref 7.4</x:t>
  </x:si>
  <x:si>
    <x:t xml:space="preserve">Manual call point (break glass)</x:t>
  </x:si>
  <x:si>
    <x:t xml:space="preserve">ASSEMBLY 12 SUBTOTAL</x:t>
  </x:si>
  <x:si>
    <x:t xml:space="preserve">QTO Ref 8.2</x:t>
  </x:si>
  <x:si>
    <x:t xml:space="preserve">Keystone jack / module (Cat6A)</x:t>
  </x:si>
  <x:si>
    <x:t xml:space="preserve">2 per double outlet</x:t>
  </x:si>
  <x:si>
    <x:t xml:space="preserve">Patch lead (1m, comms room end)</x:t>
  </x:si>
  <x:si>
    <x:t xml:space="preserve">Patch panel port (share of 24-port)</x:t>
  </x:si>
  <x:si>
    <x:t xml:space="preserve">2 ports used</x:t>
  </x:si>
  <x:si>
    <x:t xml:space="preserve">Both ends x 2 cables</x:t>
  </x:si>
  <x:si>
    <x:t xml:space="preserve">Pull, terminate</x:t>
  </x:si>
  <x:si>
    <x:t xml:space="preserve">Labour - data tech T&amp;C</x:t>
  </x:si>
  <x:si>
    <x:t xml:space="preserve">Fluke test</x:t>
  </x:si>
  <x:si>
    <x:t xml:space="preserve">ASSEMBLY 13 SUBTOTAL</x:t>
  </x:si>
  <x:si>
    <x:t xml:space="preserve">QTO Ref 5.3</x:t>
  </x:si>
  <x:si>
    <x:t xml:space="preserve">Main switch (100A)</x:t>
  </x:si>
  <x:si>
    <x:t xml:space="preserve">Typical loading</x:t>
  </x:si>
  <x:si>
    <x:t xml:space="preserve">RCBOs (for socket circuits)</x:t>
  </x:si>
  <x:si>
    <x:t xml:space="preserve">Surge protection device (SPD)</x:t>
  </x:si>
  <x:si>
    <x:t xml:space="preserve">Type 2</x:t>
  </x:si>
  <x:si>
    <x:t xml:space="preserve">Both ends</x:t>
  </x:si>
  <x:si>
    <x:t xml:space="preserve">Earth bar / MEN link</x:t>
  </x:si>
  <x:si>
    <x:t xml:space="preserve">DB labels / circuit schedule</x:t>
  </x:si>
  <x:si>
    <x:t xml:space="preserve">Engraved schedule</x:t>
  </x:si>
  <x:si>
    <x:t xml:space="preserve">Mount, wire, label</x:t>
  </x:si>
  <x:si>
    <x:t xml:space="preserve">Full board test</x:t>
  </x:si>
  <x:si>
    <x:t xml:space="preserve">Step ladder / platform</x:t>
  </x:si>
  <x:si>
    <x:t xml:space="preserve">ASSEMBLY 14 SUBTOTAL</x:t>
  </x:si>
  <x:si>
    <x:t xml:space="preserve">QTO Ref 8.6</x:t>
  </x:si>
  <x:si>
    <x:t xml:space="preserve">CCTV camera (IP, PoE)</x:t>
  </x:si>
  <x:si>
    <x:t xml:space="preserve">Security</x:t>
  </x:si>
  <x:si>
    <x:t xml:space="preserve">PoE switch port (share of)</x:t>
  </x:si>
  <x:si>
    <x:t xml:space="preserve">1 NVR per ~20 cameras</x:t>
  </x:si>
  <x:si>
    <x:t xml:space="preserve">Labour - security tech T&amp;C</x:t>
  </x:si>
  <x:si>
    <x:t xml:space="preserve">Focus, record test</x:t>
  </x:si>
  <x:si>
    <x:t xml:space="preserve">ASSEMBLY 15 SUBTOTAL</x:t>
  </x:si>
  <x:si>
    <x:t xml:space="preserve">ASSEMBLY COST SUMMARY</x:t>
  </x:si>
  <x:si>
    <x:t xml:space="preserve">Assembly</x:t>
  </x:si>
  <x:si>
    <x:t xml:space="preserve">Assembly Total ($)</x:t>
  </x:si>
  <x:si>
    <x:t xml:space="preserve">LED Downlight</x:t>
  </x:si>
  <x:si>
    <x:t xml:space="preserve">Emergency Luminaire</x:t>
  </x:si>
  <x:si>
    <x:t xml:space="preserve">Exit Sign Luminaire</x:t>
  </x:si>
  <x:si>
    <x:t xml:space="preserve">Smoke Detector</x:t>
  </x:si>
  <x:si>
    <x:t xml:space="preserve">Manual Call Point (MCP)</x:t>
  </x:si>
  <x:si>
    <x:t xml:space="preserve">CCTV Camera</x:t>
  </x:si>
  <x:si>
    <x:t xml:space="preserve">GRAND TOTAL (ALL ASSEMBLIES)</x:t>
  </x:si>
</x:sst>
</file>

<file path=xl/styles.xml><?xml version="1.0" encoding="utf-8"?>
<x:styleSheet xmlns:x="http://schemas.openxmlformats.org/spreadsheetml/2006/main">
  <x:fonts count="11">
    <x:font>
      <x:sz val="11"/>
      <x:color theme="1"/>
      <x:name val="Calibri"/>
    </x:font>
    <x:font>
      <x:b/>
      <x:sz val="11"/>
      <x:color theme="1"/>
      <x:name val="Calibri"/>
    </x:font>
    <x:font>
      <x:b/>
      <x:sz val="16"/>
      <x:color rgb="FF1F4E79"/>
      <x:name val="Calibri"/>
    </x:font>
    <x:font>
      <x:b/>
      <x:sz val="11"/>
      <x:color rgb="FF1F4E79"/>
      <x:name val="Calibri"/>
    </x:font>
    <x:font>
      <x:sz val="11"/>
      <x:color rgb="FF0000FF"/>
      <x:name val="Calibri"/>
    </x:font>
    <x:font>
      <x:b/>
      <x:sz val="11"/>
      <x:color rgb="FFFFFFFF"/>
      <x:name val="Calibri"/>
    </x:font>
    <x:font>
      <x:i/>
      <x:sz val="9"/>
      <x:color rgb="FF0000FF"/>
      <x:name val="Calibri"/>
    </x:font>
    <x:font>
      <x:i/>
      <x:sz val="9"/>
      <x:color rgb="FF808080"/>
      <x:name val="Calibri"/>
    </x:font>
    <x:font>
      <x:b/>
      <x:sz val="11"/>
      <x:color rgb="FF0000FF"/>
      <x:name val="Calibri"/>
    </x:font>
    <x:font>
      <x:b/>
      <x:sz val="13"/>
      <x:color rgb="FFFFFFFF"/>
      <x:name val="Calibri"/>
    </x:font>
    <x:font>
      <x:b/>
      <x:sz val="12"/>
      <x:color rgb="FFFFFFFF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F4E79"/>
      </x:patternFill>
    </x:fill>
    <x:fill>
      <x:patternFill patternType="solid">
        <x:fgColor rgb="FFD6E4F0"/>
      </x:patternFill>
    </x:fill>
    <x:fill>
      <x:patternFill patternType="solid">
        <x:fgColor rgb="FF2E75B6"/>
      </x:patternFill>
    </x:fill>
    <x:fill>
      <x:patternFill patternType="solid">
        <x:fgColor rgb="FFE2EFDA"/>
      </x:patternFill>
    </x:fill>
    <x:fill>
      <x:patternFill patternType="solid">
        <x:fgColor rgb="FFF2F2F2"/>
      </x:patternFill>
    </x:fill>
  </x:fills>
  <x:borders count="19">
    <x:border/>
    <x:border>
      <x:right style="thin">
        <x:color rgb="FFB4C6E7"/>
      </x:right>
      <x:bottom style="thin">
        <x:color rgb="FFB4C6E7"/>
      </x:bottom>
    </x:border>
    <x:border>
      <x:left style="thin">
        <x:color rgb="FFB4C6E7"/>
      </x:left>
      <x:right style="thin">
        <x:color rgb="FFB4C6E7"/>
      </x:right>
      <x:bottom style="thin">
        <x:color rgb="FFB4C6E7"/>
      </x:bottom>
    </x:border>
    <x:border>
      <x:left style="thin">
        <x:color rgb="FFB4C6E7"/>
      </x:left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  <x:right style="thin">
        <x:color rgb="FFB4C6E7"/>
      </x:right>
      <x:top style="thin">
        <x:color rgb="FFB4C6E7"/>
      </x:top>
    </x:border>
    <x:border>
      <x:left style="thin">
        <x:color rgb="FFB4C6E7"/>
      </x:left>
      <x:top style="thin">
        <x:color rgb="FFB4C6E7"/>
      </x:top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76">
    <x:xf numFmtId="0" fontId="0" fillId="0" borderId="0" xfId="0"/>
    <x:xf numFmtId="0" fontId="3" fillId="0" borderId="0" xfId="0" applyFont="1"/>
    <x:xf numFmtId="0" fontId="4" fillId="2" borderId="0" xfId="0" applyFont="1" applyFill="1"/>
    <x:xf numFmtId="0" fontId="5" fillId="3" borderId="0" xfId="0" applyFont="1" applyFill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5" fillId="3" borderId="2" xfId="0" applyFont="1" applyFill="1" applyBorder="1" applyAlignment="1">
      <x:alignment horizontal="center" vertical="center" wrapText="1"/>
    </x:xf>
    <x:xf numFmtId="0" fontId="5" fillId="3" borderId="3" xfId="0" applyFont="1" applyFill="1" applyBorder="1" applyAlignment="1">
      <x:alignment horizontal="center" vertical="center" wrapText="1"/>
    </x:xf>
    <x:xf numFmtId="0" fontId="6" fillId="4" borderId="4" xfId="0" applyFont="1" applyFill="1" applyBorder="1" applyAlignment="1">
      <x:alignment horizontal="center"/>
    </x:xf>
    <x:xf numFmtId="0" fontId="6" fillId="4" borderId="5" xfId="0" applyFont="1" applyFill="1" applyBorder="1" applyAlignment="1">
      <x:alignment horizontal="center"/>
    </x:xf>
    <x:xf numFmtId="0" fontId="6" fillId="4" borderId="6" xfId="0" applyFont="1" applyFill="1" applyBorder="1" applyAlignment="1">
      <x:alignment horizontal="center"/>
    </x:xf>
    <x:xf numFmtId="0" fontId="5" fillId="5" borderId="4" xfId="0" applyFont="1" applyFill="1" applyBorder="1" applyAlignment="1">
      <x:alignment horizontal="center"/>
    </x:xf>
    <x:xf numFmtId="0" fontId="5" fillId="5" borderId="5" xfId="0" applyFont="1" applyFill="1" applyBorder="1" applyAlignment="1">
      <x:alignment horizontal="center"/>
    </x:xf>
    <x:xf numFmtId="0" fontId="5" fillId="5" borderId="6" xfId="0" applyFont="1" applyFill="1" applyBorder="1"/>
    <x:xf numFmtId="0" fontId="0" fillId="0" borderId="4" xfId="0" applyBorder="1" applyAlignment="1">
      <x:alignment horizontal="center"/>
    </x:xf>
    <x:xf numFmtId="0" fontId="0" fillId="0" borderId="5" xfId="0" applyBorder="1"/>
    <x:xf numFmtId="0" fontId="0" fillId="0" borderId="5" xfId="0" applyBorder="1" applyAlignment="1">
      <x:alignment horizontal="center"/>
    </x:xf>
    <x:xf numFmtId="0" fontId="0" fillId="2" borderId="5" xfId="0" applyFill="1" applyBorder="1" applyAlignment="1">
      <x:alignment horizontal="center"/>
    </x:xf>
    <x:xf numFmtId="0" fontId="1" fillId="6" borderId="5" xfId="0" applyFont="1" applyFill="1" applyBorder="1" applyAlignment="1">
      <x:alignment horizontal="center"/>
    </x:xf>
    <x:xf numFmtId="0" fontId="0" fillId="7" borderId="6" xfId="0" applyFill="1" applyBorder="1"/>
    <x:xf numFmtId="0" fontId="0" fillId="0" borderId="7" xfId="0" applyBorder="1" applyAlignment="1">
      <x:alignment horizontal="center"/>
    </x:xf>
    <x:xf numFmtId="0" fontId="0" fillId="0" borderId="8" xfId="0" applyBorder="1"/>
    <x:xf numFmtId="0" fontId="0" fillId="0" borderId="8" xfId="0" applyBorder="1" applyAlignment="1">
      <x:alignment horizontal="center"/>
    </x:xf>
    <x:xf numFmtId="0" fontId="0" fillId="2" borderId="8" xfId="0" applyFill="1" applyBorder="1" applyAlignment="1">
      <x:alignment horizontal="center"/>
    </x:xf>
    <x:xf numFmtId="0" fontId="1" fillId="6" borderId="8" xfId="0" applyFont="1" applyFill="1" applyBorder="1" applyAlignment="1">
      <x:alignment horizontal="center"/>
    </x:xf>
    <x:xf numFmtId="0" fontId="0" fillId="7" borderId="9" xfId="0" applyFill="1" applyBorder="1"/>
    <x:xf numFmtId="0" fontId="5" fillId="5" borderId="11" xfId="0" applyFont="1" applyFill="1" applyBorder="1" applyAlignment="1">
      <x:alignment horizontal="center"/>
    </x:xf>
    <x:xf numFmtId="0" fontId="8" fillId="5" borderId="11" xfId="0" applyFont="1" applyFill="1" applyBorder="1" applyAlignment="1">
      <x:alignment horizontal="right"/>
    </x:xf>
    <x:xf numFmtId="0" fontId="5" fillId="5" borderId="11" xfId="0" applyFont="1" applyFill="1" applyBorder="1" applyAlignment="1">
      <x:alignment horizontal="right"/>
    </x:xf>
    <x:xf numFmtId="0" fontId="5" fillId="5" borderId="12" xfId="0" applyFont="1" applyFill="1" applyBorder="1"/>
    <x:xf numFmtId="0" fontId="1" fillId="0" borderId="13" xfId="0" applyFont="1" applyBorder="1" applyAlignment="1">
      <x:alignment horizontal="center"/>
    </x:xf>
    <x:xf numFmtId="0" fontId="3" fillId="0" borderId="14" xfId="0" applyFont="1" applyBorder="1"/>
    <x:xf numFmtId="0" fontId="1" fillId="0" borderId="14" xfId="0" applyFont="1" applyBorder="1" applyAlignment="1">
      <x:alignment horizontal="center"/>
    </x:xf>
    <x:xf numFmtId="0" fontId="1" fillId="7" borderId="14" xfId="0" applyFont="1" applyFill="1" applyBorder="1" applyAlignment="1">
      <x:alignment horizontal="center"/>
    </x:xf>
    <x:xf numFmtId="0" fontId="8" fillId="2" borderId="14" xfId="0" applyFont="1" applyFill="1" applyBorder="1" applyAlignment="1">
      <x:alignment horizontal="right"/>
    </x:xf>
    <x:xf numFmtId="0" fontId="1" fillId="6" borderId="14" xfId="0" applyFont="1" applyFill="1" applyBorder="1" applyAlignment="1">
      <x:alignment horizontal="right"/>
    </x:xf>
    <x:xf numFmtId="0" fontId="1" fillId="0" borderId="15" xfId="0" applyFont="1" applyBorder="1"/>
    <x:xf numFmtId="0" fontId="0" fillId="0" borderId="13" xfId="0" applyBorder="1" applyAlignment="1">
      <x:alignment horizontal="center"/>
    </x:xf>
    <x:xf numFmtId="0" fontId="0" fillId="0" borderId="14" xfId="0" applyBorder="1"/>
    <x:xf numFmtId="0" fontId="0" fillId="0" borderId="14" xfId="0" applyBorder="1" applyAlignment="1">
      <x:alignment horizontal="center"/>
    </x:xf>
    <x:xf numFmtId="0" fontId="0" fillId="7" borderId="14" xfId="0" applyFill="1" applyBorder="1" applyAlignment="1">
      <x:alignment horizontal="center"/>
    </x:xf>
    <x:xf numFmtId="0" fontId="4" fillId="2" borderId="14" xfId="0" applyFont="1" applyFill="1" applyBorder="1" applyAlignment="1">
      <x:alignment horizontal="right"/>
    </x:xf>
    <x:xf numFmtId="0" fontId="0" fillId="6" borderId="14" xfId="0" applyFill="1" applyBorder="1" applyAlignment="1">
      <x:alignment horizontal="right"/>
    </x:xf>
    <x:xf numFmtId="0" fontId="0" fillId="0" borderId="15" xfId="0" applyBorder="1"/>
    <x:xf numFmtId="0" fontId="3" fillId="4" borderId="13" xfId="0" applyFont="1" applyFill="1" applyBorder="1" applyAlignment="1">
      <x:alignment horizontal="center"/>
    </x:xf>
    <x:xf numFmtId="0" fontId="3" fillId="4" borderId="14" xfId="0" applyFont="1" applyFill="1" applyBorder="1"/>
    <x:xf numFmtId="0" fontId="3" fillId="4" borderId="14" xfId="0" applyFont="1" applyFill="1" applyBorder="1" applyAlignment="1">
      <x:alignment horizontal="center"/>
    </x:xf>
    <x:xf numFmtId="0" fontId="8" fillId="4" borderId="14" xfId="0" applyFont="1" applyFill="1" applyBorder="1" applyAlignment="1">
      <x:alignment horizontal="right"/>
    </x:xf>
    <x:xf numFmtId="0" fontId="3" fillId="6" borderId="14" xfId="0" applyFont="1" applyFill="1" applyBorder="1" applyAlignment="1">
      <x:alignment horizontal="right"/>
    </x:xf>
    <x:xf numFmtId="0" fontId="3" fillId="4" borderId="15" xfId="0" applyFont="1" applyFill="1" applyBorder="1"/>
    <x:xf numFmtId="0" fontId="5" fillId="5" borderId="14" xfId="0" applyFont="1" applyFill="1" applyBorder="1" applyAlignment="1">
      <x:alignment horizontal="center"/>
    </x:xf>
    <x:xf numFmtId="0" fontId="8" fillId="5" borderId="14" xfId="0" applyFont="1" applyFill="1" applyBorder="1" applyAlignment="1">
      <x:alignment horizontal="right"/>
    </x:xf>
    <x:xf numFmtId="0" fontId="5" fillId="5" borderId="14" xfId="0" applyFont="1" applyFill="1" applyBorder="1" applyAlignment="1">
      <x:alignment horizontal="right"/>
    </x:xf>
    <x:xf numFmtId="0" fontId="5" fillId="5" borderId="15" xfId="0" applyFont="1" applyFill="1" applyBorder="1"/>
    <x:xf numFmtId="0" fontId="3" fillId="4" borderId="16" xfId="0" applyFont="1" applyFill="1" applyBorder="1" applyAlignment="1">
      <x:alignment horizontal="center"/>
    </x:xf>
    <x:xf numFmtId="0" fontId="3" fillId="4" borderId="17" xfId="0" applyFont="1" applyFill="1" applyBorder="1"/>
    <x:xf numFmtId="0" fontId="3" fillId="4" borderId="17" xfId="0" applyFont="1" applyFill="1" applyBorder="1" applyAlignment="1">
      <x:alignment horizontal="center"/>
    </x:xf>
    <x:xf numFmtId="0" fontId="8" fillId="4" borderId="17" xfId="0" applyFont="1" applyFill="1" applyBorder="1" applyAlignment="1">
      <x:alignment horizontal="right"/>
    </x:xf>
    <x:xf numFmtId="0" fontId="3" fillId="6" borderId="17" xfId="0" applyFont="1" applyFill="1" applyBorder="1" applyAlignment="1">
      <x:alignment horizontal="right"/>
    </x:xf>
    <x:xf numFmtId="0" fontId="3" fillId="4" borderId="18" xfId="0" applyFont="1" applyFill="1" applyBorder="1"/>
    <x:xf numFmtId="0" fontId="1" fillId="4" borderId="0" xfId="0" applyFont="1" applyFill="1" applyAlignment="1">
      <x:alignment horizontal="center"/>
    </x:xf>
    <x:xf numFmtId="0" fontId="0" fillId="0" borderId="2" xfId="0" applyBorder="1"/>
    <x:xf numFmtId="0" fontId="0" fillId="0" borderId="1" xfId="0" applyBorder="1" applyAlignment="1">
      <x:alignment horizontal="center"/>
    </x:xf>
    <x:xf numFmtId="0" fontId="0" fillId="0" borderId="3" xfId="0" applyBorder="1" applyAlignment="1">
      <x:alignment horizontal="right"/>
    </x:xf>
    <x:xf numFmtId="0" fontId="0" fillId="0" borderId="6" xfId="0" applyBorder="1" applyAlignment="1">
      <x:alignment horizontal="right"/>
    </x:xf>
    <x:xf numFmtId="0" fontId="0" fillId="0" borderId="9" xfId="0" applyBorder="1" applyAlignment="1">
      <x:alignment horizontal="right"/>
    </x:xf>
    <x:xf numFmtId="0" fontId="10" fillId="3" borderId="0" xfId="0" applyFont="1" applyFill="1" applyAlignment="1">
      <x:alignment horizontal="right"/>
    </x:xf>
    <x:xf numFmtId="0" fontId="10" fillId="3" borderId="0" xfId="0" applyFont="1" applyFill="1"/>
    <x:xf numFmtId="0" fontId="0" fillId="0" borderId="0" xfId="0"/>
    <x:xf numFmtId="0" fontId="0" fillId="0" borderId="13" xfId="0" applyBorder="1" applyAlignment="1">
      <x:alignment horizontal="center"/>
    </x:xf>
    <x:xf numFmtId="0" fontId="0" fillId="0" borderId="14" xfId="0" applyBorder="1"/>
    <x:xf numFmtId="0" fontId="9" fillId="3" borderId="0" xfId="0" applyFont="1" applyFill="1" applyAlignment="1">
      <x:alignment horizontal="center"/>
    </x:xf>
    <x:xf numFmtId="0" fontId="2" fillId="0" borderId="0" xfId="0" applyFont="1" applyAlignment="1">
      <x:alignment horizontal="center"/>
    </x:xf>
    <x:xf numFmtId="0" fontId="7" fillId="0" borderId="0" xfId="0" applyFont="1"/>
    <x:xf numFmtId="0" fontId="0" fillId="0" borderId="10" xfId="0" applyBorder="1" applyAlignment="1">
      <x:alignment horizontal="center"/>
    </x:xf>
    <x:xf numFmtId="0" fontId="0" fillId="0" borderId="11" xfId="0" applyBorder="1"/>
    <x:xf numFmtId="0" fontId="5" fillId="5" borderId="5" xfId="0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ba7d0cc5404b4e" /><Relationship Type="http://schemas.openxmlformats.org/officeDocument/2006/relationships/theme" Target="/xl/theme/theme1.xml" Id="R247d7ce1011d49b8" /><Relationship Type="http://schemas.openxmlformats.org/officeDocument/2006/relationships/sharedStrings" Target="/xl/sharedStrings.xml" Id="Rdae17f6031934fd5" /><Relationship Type="http://schemas.openxmlformats.org/officeDocument/2006/relationships/worksheet" Target="/xl/worksheets/sheet1.xml" Id="R4440e180ec674db6" /><Relationship Type="http://schemas.openxmlformats.org/officeDocument/2006/relationships/worksheet" Target="/xl/worksheets/sheet2.xml" Id="R31513e2b82164ae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4" ySplit="9" topLeftCell="E10" activePane="bottomRight" state="frozen"/>
    </x:sheetView>
  </x:sheetViews>
  <x:sheetFormatPr defaultRowHeight="14.25"/>
  <x:cols>
    <x:col min="1" max="1" width="8.86328125" customWidth="1"/>
    <x:col min="2" max="2" width="24.86328125" customWidth="1"/>
    <x:col min="3" max="3" width="46.19921875" customWidth="1"/>
    <x:col min="4" max="4" width="8" customWidth="1"/>
    <x:col min="5" max="13" width="12.46484375" customWidth="1"/>
    <x:col min="14" max="14" width="28.46484375" customWidth="1"/>
  </x:cols>
  <x:sheetData>
    <x:row r="1" ht="21">
      <x:c r="A1" s="71" t="str">
        <x:v>ELEKTROMOS MENNYISÉGFELVÉTEL</x:v>
      </x:c>
      <x:c r="B1" s="71"/>
      <x:c r="C1" s="71"/>
      <x:c r="D1" s="71"/>
      <x:c r="E1" s="71"/>
      <x:c r="F1" s="71"/>
      <x:c r="G1" s="71"/>
      <x:c r="H1" s="71"/>
      <x:c r="I1" s="71"/>
      <x:c r="J1" s="71"/>
      <x:c r="K1" s="71"/>
      <x:c r="L1" s="71"/>
      <x:c r="M1" s="71"/>
      <x:c r="N1" s="71"/>
    </x:row>
    <x:row r="3">
      <x:c r="A3" s="1" t="str">
        <x:v>Projekt:</x:v>
      </x:c>
      <x:c r="B3" s="2"/>
    </x:row>
    <x:row r="4">
      <x:c r="A4" s="1" t="str">
        <x:v>Megrendelő:</x:v>
      </x:c>
      <x:c r="B4" s="2"/>
    </x:row>
    <x:row r="5">
      <x:c r="A5" s="1" t="str">
        <x:v>Dátum:</x:v>
      </x:c>
      <x:c r="B5" s="2"/>
    </x:row>
    <x:row r="6">
      <x:c r="A6" s="1" t="str">
        <x:v>Készítette:</x:v>
      </x:c>
      <x:c r="B6" s="2"/>
    </x:row>
    <x:row r="8" ht="40.04999923706055" customHeight="1">
      <x:c r="A8" s="4" t="str">
        <x:v>Tétel-
azonosító</x:v>
      </x:c>
      <x:c r="B8" s="5" t="str">
        <x:v>Kategória</x:v>
      </x:c>
      <x:c r="C8" s="5" t="str">
        <x:v>Megnevezés / műszaki leírás</x:v>
      </x:c>
      <x:c r="D8" s="5" t="str">
        <x:v>Mértékegység</x:v>
      </x:c>
      <x:c r="E8" s="5" t="str">
        <x:v>Terv 1</x:v>
      </x:c>
      <x:c r="F8" s="5" t="str">
        <x:v>Terv 2</x:v>
      </x:c>
      <x:c r="G8" s="5" t="str">
        <x:v>Terv 3</x:v>
      </x:c>
      <x:c r="H8" s="5" t="str">
        <x:v>Terv 4</x:v>
      </x:c>
      <x:c r="I8" s="5" t="str">
        <x:v>Terv 5</x:v>
      </x:c>
      <x:c r="J8" s="5" t="str">
        <x:v>Terv 6</x:v>
      </x:c>
      <x:c r="K8" s="5" t="str">
        <x:v>Terv 7</x:v>
      </x:c>
      <x:c r="L8" s="5" t="str">
        <x:v>Terv 8</x:v>
      </x:c>
      <x:c r="M8" s="5" t="s">
        <x:v>0</x:v>
      </x:c>
      <x:c r="N8" s="6" t="str">
        <x:v>Megjegyzés</x:v>
      </x:c>
    </x:row>
    <x:row r="9">
      <x:c r="A9" s="7"/>
      <x:c r="B9" s="8"/>
      <x:c r="C9" s="8"/>
      <x:c r="D9" s="8"/>
      <x:c r="E9" s="8" t="str">
        <x:v>Tervszám</x:v>
      </x:c>
      <x:c r="F9" s="8" t="str">
        <x:v>Tervszám</x:v>
      </x:c>
      <x:c r="G9" s="8" t="str">
        <x:v>Tervszám</x:v>
      </x:c>
      <x:c r="H9" s="8" t="str">
        <x:v>Tervszám</x:v>
      </x:c>
      <x:c r="I9" s="8" t="str">
        <x:v>Tervszám</x:v>
      </x:c>
      <x:c r="J9" s="8" t="str">
        <x:v>Tervszám</x:v>
      </x:c>
      <x:c r="K9" s="8" t="str">
        <x:v>Tervszám</x:v>
      </x:c>
      <x:c r="L9" s="8" t="str">
        <x:v>Tervszám</x:v>
      </x:c>
      <x:c r="M9" s="8"/>
      <x:c r="N9" s="9"/>
    </x:row>
    <x:row r="10">
      <x:c r="A10" s="10"/>
      <x:c r="B10" s="75" t="str">
        <x:v>KÁBELTARTÓ RENDSZEREK</x:v>
      </x:c>
      <x:c r="C10" s="75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2"/>
    </x:row>
    <x:row r="11">
      <x:c r="A11" s="13">
        <x:v>1.1000000000000001</x:v>
      </x:c>
      <x:c r="B11" s="14"/>
      <x:c r="C11" s="14" t="str">
        <x:v>kábeltálca - nagy teherbírású (szélesség: ___mm)</x:v>
      </x:c>
      <x:c r="D11" s="15" t="str">
        <x:v>fm</x:v>
      </x:c>
      <x:c r="E11" s="16"/>
      <x:c r="F11" s="16"/>
      <x:c r="G11" s="16"/>
      <x:c r="H11" s="16"/>
      <x:c r="I11" s="16"/>
      <x:c r="J11" s="16"/>
      <x:c r="K11" s="16"/>
      <x:c r="L11" s="16"/>
      <x:c r="M11" s="17" t="n">
        <x:f t="shared" ref="M11:M18" si="0">SUM(E11:L11)</x:f>
        <x:v>0</x:v>
      </x:c>
      <x:c r="N11" s="18"/>
    </x:row>
    <x:row r="12">
      <x:c r="A12" s="13">
        <x:v>1.2</x:v>
      </x:c>
      <x:c r="B12" s="14"/>
      <x:c r="C12" s="14" t="str">
        <x:v>kábeltálca - közepes teherbírású (szélesség: ___mm)</x:v>
      </x:c>
      <x:c r="D12" s="15" t="str">
        <x:v>fm</x:v>
      </x:c>
      <x:c r="E12" s="16"/>
      <x:c r="F12" s="16"/>
      <x:c r="G12" s="16"/>
      <x:c r="H12" s="16"/>
      <x:c r="I12" s="16"/>
      <x:c r="J12" s="16"/>
      <x:c r="K12" s="16"/>
      <x:c r="L12" s="16"/>
      <x:c r="M12" s="17">
        <x:f t="shared" si="0"/>
        <x:v>0</x:v>
      </x:c>
      <x:c r="N12" s="18"/>
    </x:row>
    <x:row r="13">
      <x:c r="A13" s="13">
        <x:v>1.3</x:v>
      </x:c>
      <x:c r="B13" s="14"/>
      <x:c r="C13" s="14" t="str">
        <x:v>kábeltálca - könnyű kivitelű (szélesség: ___mm)</x:v>
      </x:c>
      <x:c r="D13" s="15" t="str">
        <x:v>fm</x:v>
      </x:c>
      <x:c r="E13" s="16"/>
      <x:c r="F13" s="16"/>
      <x:c r="G13" s="16"/>
      <x:c r="H13" s="16"/>
      <x:c r="I13" s="16"/>
      <x:c r="J13" s="16"/>
      <x:c r="K13" s="16"/>
      <x:c r="L13" s="16"/>
      <x:c r="M13" s="17">
        <x:f t="shared" si="0"/>
        <x:v>0</x:v>
      </x:c>
      <x:c r="N13" s="18"/>
    </x:row>
    <x:row r="14">
      <x:c r="A14" s="13">
        <x:v>1.4</x:v>
      </x:c>
      <x:c r="B14" s="14"/>
      <x:c r="C14" s="14" t="str">
        <x:v>kábellétra (szélesség: ___mm)</x:v>
      </x:c>
      <x:c r="D14" s="15" t="str">
        <x:v>fm</x:v>
      </x:c>
      <x:c r="E14" s="16"/>
      <x:c r="F14" s="16"/>
      <x:c r="G14" s="16"/>
      <x:c r="H14" s="16"/>
      <x:c r="I14" s="16"/>
      <x:c r="J14" s="16"/>
      <x:c r="K14" s="16"/>
      <x:c r="L14" s="16"/>
      <x:c r="M14" s="17">
        <x:f t="shared" si="0"/>
        <x:v>0</x:v>
      </x:c>
      <x:c r="N14" s="18"/>
    </x:row>
    <x:row r="15">
      <x:c r="A15" s="13">
        <x:v>1.5</x:v>
      </x:c>
      <x:c r="B15" s="14"/>
      <x:c r="C15" s="14" t="str">
        <x:v>kábeltálca ív idomok / T-idomok / keresztidomok</x:v>
      </x:c>
      <x:c r="D15" s="15" t="str">
        <x:v>db</x:v>
      </x:c>
      <x:c r="E15" s="16"/>
      <x:c r="F15" s="16"/>
      <x:c r="G15" s="16"/>
      <x:c r="H15" s="16"/>
      <x:c r="I15" s="16"/>
      <x:c r="J15" s="16"/>
      <x:c r="K15" s="16"/>
      <x:c r="L15" s="16"/>
      <x:c r="M15" s="17">
        <x:f t="shared" si="0"/>
        <x:v>0</x:v>
      </x:c>
      <x:c r="N15" s="18"/>
    </x:row>
    <x:row r="16">
      <x:c r="A16" s="13">
        <x:v>1.6</x:v>
      </x:c>
      <x:c r="B16" s="14"/>
      <x:c r="C16" s="14" t="str">
        <x:v>kábeltálca felszállások / leállások</x:v>
      </x:c>
      <x:c r="D16" s="15" t="str">
        <x:v>db</x:v>
      </x:c>
      <x:c r="E16" s="16"/>
      <x:c r="F16" s="16"/>
      <x:c r="G16" s="16"/>
      <x:c r="H16" s="16"/>
      <x:c r="I16" s="16"/>
      <x:c r="J16" s="16"/>
      <x:c r="K16" s="16"/>
      <x:c r="L16" s="16"/>
      <x:c r="M16" s="17">
        <x:f t="shared" si="0"/>
        <x:v>0</x:v>
      </x:c>
      <x:c r="N16" s="18"/>
    </x:row>
    <x:row r="17">
      <x:c r="A17" s="13">
        <x:v>1.7</x:v>
      </x:c>
      <x:c r="B17" s="14"/>
      <x:c r="C17" s="14" t="str">
        <x:v>kábeltálca tartószerkezetek / konzolok</x:v>
      </x:c>
      <x:c r="D17" s="15" t="str">
        <x:v>db</x:v>
      </x:c>
      <x:c r="E17" s="16"/>
      <x:c r="F17" s="16"/>
      <x:c r="G17" s="16"/>
      <x:c r="H17" s="16"/>
      <x:c r="I17" s="16"/>
      <x:c r="J17" s="16"/>
      <x:c r="K17" s="16"/>
      <x:c r="L17" s="16"/>
      <x:c r="M17" s="17">
        <x:f t="shared" si="0"/>
        <x:v>0</x:v>
      </x:c>
      <x:c r="N17" s="18"/>
    </x:row>
    <x:row r="18">
      <x:c r="A18" s="13">
        <x:v>1.8</x:v>
      </x:c>
      <x:c r="B18" s="14"/>
      <x:c r="C18" s="14" t="str">
        <x:v>rácsos kábeltálca</x:v>
      </x:c>
      <x:c r="D18" s="15" t="str">
        <x:v>fm</x:v>
      </x:c>
      <x:c r="E18" s="16"/>
      <x:c r="F18" s="16"/>
      <x:c r="G18" s="16"/>
      <x:c r="H18" s="16"/>
      <x:c r="I18" s="16"/>
      <x:c r="J18" s="16"/>
      <x:c r="K18" s="16"/>
      <x:c r="L18" s="16"/>
      <x:c r="M18" s="17">
        <x:f t="shared" si="0"/>
        <x:v>0</x:v>
      </x:c>
      <x:c r="N18" s="18"/>
    </x:row>
    <x:row r="19">
      <x:c r="A19" s="10"/>
      <x:c r="B19" s="75" t="str">
        <x:v>VÉDŐCSÖVEK ÉS KÁBELCSATORNÁK</x:v>
      </x:c>
      <x:c r="C19" s="75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2"/>
    </x:row>
    <x:row r="20">
      <x:c r="A20" s="13">
        <x:v>2.1</x:v>
      </x:c>
      <x:c r="B20" s="14"/>
      <x:c r="C20" s="14" t="str">
        <x:v>horganyzott acél védőcső - 20mm</x:v>
      </x:c>
      <x:c r="D20" s="15" t="str">
        <x:v>fm</x:v>
      </x:c>
      <x:c r="E20" s="16"/>
      <x:c r="F20" s="16"/>
      <x:c r="G20" s="16"/>
      <x:c r="H20" s="16"/>
      <x:c r="I20" s="16"/>
      <x:c r="J20" s="16"/>
      <x:c r="K20" s="16"/>
      <x:c r="L20" s="16"/>
      <x:c r="M20" s="17" t="n">
        <x:f t="shared" ref="M20:M30" si="1">SUM(E20:L20)</x:f>
        <x:v>0</x:v>
      </x:c>
      <x:c r="N20" s="18"/>
    </x:row>
    <x:row r="21">
      <x:c r="A21" s="13">
        <x:v>2.2000000000000002</x:v>
      </x:c>
      <x:c r="B21" s="14"/>
      <x:c r="C21" s="14" t="str">
        <x:v>horganyzott acél védőcső - 25mm</x:v>
      </x:c>
      <x:c r="D21" s="15" t="str">
        <x:v>fm</x:v>
      </x:c>
      <x:c r="E21" s="16"/>
      <x:c r="F21" s="16"/>
      <x:c r="G21" s="16"/>
      <x:c r="H21" s="16"/>
      <x:c r="I21" s="16"/>
      <x:c r="J21" s="16"/>
      <x:c r="K21" s="16"/>
      <x:c r="L21" s="16"/>
      <x:c r="M21" s="17">
        <x:f t="shared" si="1"/>
        <x:v>0</x:v>
      </x:c>
      <x:c r="N21" s="18"/>
    </x:row>
    <x:row r="22">
      <x:c r="A22" s="13">
        <x:v>2.2999999999999998</x:v>
      </x:c>
      <x:c r="B22" s="14"/>
      <x:c r="C22" s="14" t="str">
        <x:v>horganyzott acél védőcső - 32mm</x:v>
      </x:c>
      <x:c r="D22" s="15" t="str">
        <x:v>fm</x:v>
      </x:c>
      <x:c r="E22" s="16"/>
      <x:c r="F22" s="16"/>
      <x:c r="G22" s="16"/>
      <x:c r="H22" s="16"/>
      <x:c r="I22" s="16"/>
      <x:c r="J22" s="16"/>
      <x:c r="K22" s="16"/>
      <x:c r="L22" s="16"/>
      <x:c r="M22" s="17">
        <x:f t="shared" si="1"/>
        <x:v>0</x:v>
      </x:c>
      <x:c r="N22" s="18"/>
    </x:row>
    <x:row r="23">
      <x:c r="A23" s="13">
        <x:v>2.4</x:v>
      </x:c>
      <x:c r="B23" s="14"/>
      <x:c r="C23" s="14" t="str">
        <x:v>PVC védőcső - 20mm</x:v>
      </x:c>
      <x:c r="D23" s="15" t="str">
        <x:v>fm</x:v>
      </x:c>
      <x:c r="E23" s="16"/>
      <x:c r="F23" s="16"/>
      <x:c r="G23" s="16"/>
      <x:c r="H23" s="16"/>
      <x:c r="I23" s="16"/>
      <x:c r="J23" s="16"/>
      <x:c r="K23" s="16"/>
      <x:c r="L23" s="16"/>
      <x:c r="M23" s="17">
        <x:f t="shared" si="1"/>
        <x:v>0</x:v>
      </x:c>
      <x:c r="N23" s="18"/>
    </x:row>
    <x:row r="24">
      <x:c r="A24" s="13">
        <x:v>2.5</x:v>
      </x:c>
      <x:c r="B24" s="14"/>
      <x:c r="C24" s="14" t="str">
        <x:v>PVC védőcső - 25mm</x:v>
      </x:c>
      <x:c r="D24" s="15" t="str">
        <x:v>fm</x:v>
      </x:c>
      <x:c r="E24" s="16"/>
      <x:c r="F24" s="16"/>
      <x:c r="G24" s="16"/>
      <x:c r="H24" s="16"/>
      <x:c r="I24" s="16"/>
      <x:c r="J24" s="16"/>
      <x:c r="K24" s="16"/>
      <x:c r="L24" s="16"/>
      <x:c r="M24" s="17">
        <x:f t="shared" si="1"/>
        <x:v>0</x:v>
      </x:c>
      <x:c r="N24" s="18"/>
    </x:row>
    <x:row r="25">
      <x:c r="A25" s="13">
        <x:v>2.6</x:v>
      </x:c>
      <x:c r="B25" s="14"/>
      <x:c r="C25" s="14" t="str">
        <x:v>Underground védőcső (HDPE/uPVC) - 50mm</x:v>
      </x:c>
      <x:c r="D25" s="15" t="str">
        <x:v>fm</x:v>
      </x:c>
      <x:c r="E25" s="16"/>
      <x:c r="F25" s="16"/>
      <x:c r="G25" s="16"/>
      <x:c r="H25" s="16"/>
      <x:c r="I25" s="16"/>
      <x:c r="J25" s="16"/>
      <x:c r="K25" s="16"/>
      <x:c r="L25" s="16"/>
      <x:c r="M25" s="17">
        <x:f t="shared" si="1"/>
        <x:v>0</x:v>
      </x:c>
      <x:c r="N25" s="18"/>
    </x:row>
    <x:row r="26">
      <x:c r="A26" s="13">
        <x:v>2.7</x:v>
      </x:c>
      <x:c r="B26" s="14"/>
      <x:c r="C26" s="14" t="str">
        <x:v>Underground védőcső (HDPE/uPVC) - 100mm</x:v>
      </x:c>
      <x:c r="D26" s="15" t="str">
        <x:v>fm</x:v>
      </x:c>
      <x:c r="E26" s="16"/>
      <x:c r="F26" s="16"/>
      <x:c r="G26" s="16"/>
      <x:c r="H26" s="16"/>
      <x:c r="I26" s="16"/>
      <x:c r="J26" s="16"/>
      <x:c r="K26" s="16"/>
      <x:c r="L26" s="16"/>
      <x:c r="M26" s="17">
        <x:f t="shared" si="1"/>
        <x:v>0</x:v>
      </x:c>
      <x:c r="N26" s="18"/>
    </x:row>
    <x:row r="27">
      <x:c r="A27" s="13">
        <x:v>2.8</x:v>
      </x:c>
      <x:c r="B27" s="14"/>
      <x:c r="C27" s="14" t="str">
        <x:v>Underground védőcső (HDPE/uPVC) - 150mm</x:v>
      </x:c>
      <x:c r="D27" s="15" t="str">
        <x:v>fm</x:v>
      </x:c>
      <x:c r="E27" s="16"/>
      <x:c r="F27" s="16"/>
      <x:c r="G27" s="16"/>
      <x:c r="H27" s="16"/>
      <x:c r="I27" s="16"/>
      <x:c r="J27" s="16"/>
      <x:c r="K27" s="16"/>
      <x:c r="L27" s="16"/>
      <x:c r="M27" s="17">
        <x:f t="shared" si="1"/>
        <x:v>0</x:v>
      </x:c>
      <x:c r="N27" s="18"/>
    </x:row>
    <x:row r="28">
      <x:c r="A28" s="13">
        <x:v>2.9</x:v>
      </x:c>
      <x:c r="B28" s="14"/>
      <x:c r="C28" s="14" t="str">
        <x:v>kábel kábelcsatorna (___mm x ___mm)</x:v>
      </x:c>
      <x:c r="D28" s="15" t="str">
        <x:v>fm</x:v>
      </x:c>
      <x:c r="E28" s="16"/>
      <x:c r="F28" s="16"/>
      <x:c r="G28" s="16"/>
      <x:c r="H28" s="16"/>
      <x:c r="I28" s="16"/>
      <x:c r="J28" s="16"/>
      <x:c r="K28" s="16"/>
      <x:c r="L28" s="16"/>
      <x:c r="M28" s="17">
        <x:f t="shared" si="1"/>
        <x:v>0</x:v>
      </x:c>
      <x:c r="N28" s="18"/>
    </x:row>
    <x:row r="29">
      <x:c r="A29" s="13">
        <x:v>2.1</x:v>
      </x:c>
      <x:c r="B29" s="14"/>
      <x:c r="C29" s="14" t="str">
        <x:v>védőcső junction boxes</x:v>
      </x:c>
      <x:c r="D29" s="15" t="str">
        <x:v>db</x:v>
      </x:c>
      <x:c r="E29" s="16"/>
      <x:c r="F29" s="16"/>
      <x:c r="G29" s="16"/>
      <x:c r="H29" s="16"/>
      <x:c r="I29" s="16"/>
      <x:c r="J29" s="16"/>
      <x:c r="K29" s="16"/>
      <x:c r="L29" s="16"/>
      <x:c r="M29" s="17">
        <x:f t="shared" si="1"/>
        <x:v>0</x:v>
      </x:c>
      <x:c r="N29" s="18"/>
    </x:row>
    <x:row r="30">
      <x:c r="A30" s="13">
        <x:v>2.11</x:v>
      </x:c>
      <x:c r="B30" s="14"/>
      <x:c r="C30" s="14" t="s">
        <x:v>1</x:v>
      </x:c>
      <x:c r="D30" s="15" t="str">
        <x:v>db</x:v>
      </x:c>
      <x:c r="E30" s="16"/>
      <x:c r="F30" s="16"/>
      <x:c r="G30" s="16"/>
      <x:c r="H30" s="16"/>
      <x:c r="I30" s="16"/>
      <x:c r="J30" s="16"/>
      <x:c r="K30" s="16"/>
      <x:c r="L30" s="16"/>
      <x:c r="M30" s="17">
        <x:f t="shared" si="1"/>
        <x:v>0</x:v>
      </x:c>
      <x:c r="N30" s="18"/>
    </x:row>
    <x:row r="31">
      <x:c r="A31" s="10"/>
      <x:c r="B31" s="75" t="str">
        <x:v>KÁBELEK</x:v>
      </x:c>
      <x:c r="C31" s="75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2"/>
    </x:row>
    <x:row r="32">
      <x:c r="A32" s="13">
        <x:v>3.1</x:v>
      </x:c>
      <x:c r="B32" s="14"/>
      <x:c r="C32" s="14" t="str">
        <x:v>LV power kábel - egyszárnyú core (___mm²)</x:v>
      </x:c>
      <x:c r="D32" s="15" t="str">
        <x:v>fm</x:v>
      </x:c>
      <x:c r="E32" s="16"/>
      <x:c r="F32" s="16"/>
      <x:c r="G32" s="16"/>
      <x:c r="H32" s="16"/>
      <x:c r="I32" s="16"/>
      <x:c r="J32" s="16"/>
      <x:c r="K32" s="16"/>
      <x:c r="L32" s="16"/>
      <x:c r="M32" s="17" t="n">
        <x:f t="shared" ref="M32:M40" si="2">SUM(E32:L32)</x:f>
        <x:v>0</x:v>
      </x:c>
      <x:c r="N32" s="18"/>
    </x:row>
    <x:row r="33">
      <x:c r="A33" s="13">
        <x:v>3.2</x:v>
      </x:c>
      <x:c r="B33" s="14"/>
      <x:c r="C33" s="14" t="str">
        <x:v>LV power kábel - multicore (___mm²)</x:v>
      </x:c>
      <x:c r="D33" s="15" t="str">
        <x:v>fm</x:v>
      </x:c>
      <x:c r="E33" s="16"/>
      <x:c r="F33" s="16"/>
      <x:c r="G33" s="16"/>
      <x:c r="H33" s="16"/>
      <x:c r="I33" s="16"/>
      <x:c r="J33" s="16"/>
      <x:c r="K33" s="16"/>
      <x:c r="L33" s="16"/>
      <x:c r="M33" s="17">
        <x:f t="shared" si="2"/>
        <x:v>0</x:v>
      </x:c>
      <x:c r="N33" s="18"/>
    </x:row>
    <x:row r="34">
      <x:c r="A34" s="13">
        <x:v>3.3</x:v>
      </x:c>
      <x:c r="B34" s="14"/>
      <x:c r="C34" s="14" t="str">
        <x:v>HV kábel (___kV, ___mm²)</x:v>
      </x:c>
      <x:c r="D34" s="15" t="str">
        <x:v>fm</x:v>
      </x:c>
      <x:c r="E34" s="16"/>
      <x:c r="F34" s="16"/>
      <x:c r="G34" s="16"/>
      <x:c r="H34" s="16"/>
      <x:c r="I34" s="16"/>
      <x:c r="J34" s="16"/>
      <x:c r="K34" s="16"/>
      <x:c r="L34" s="16"/>
      <x:c r="M34" s="17">
        <x:f t="shared" si="2"/>
        <x:v>0</x:v>
      </x:c>
      <x:c r="N34" s="18"/>
    </x:row>
    <x:row r="35">
      <x:c r="A35" s="13">
        <x:v>3.4</x:v>
      </x:c>
      <x:c r="B35" s="14"/>
      <x:c r="C35" s="14" t="str">
        <x:v>Control kábel</x:v>
      </x:c>
      <x:c r="D35" s="15" t="str">
        <x:v>fm</x:v>
      </x:c>
      <x:c r="E35" s="16"/>
      <x:c r="F35" s="16"/>
      <x:c r="G35" s="16"/>
      <x:c r="H35" s="16"/>
      <x:c r="I35" s="16"/>
      <x:c r="J35" s="16"/>
      <x:c r="K35" s="16"/>
      <x:c r="L35" s="16"/>
      <x:c r="M35" s="17">
        <x:f t="shared" si="2"/>
        <x:v>0</x:v>
      </x:c>
      <x:c r="N35" s="18"/>
    </x:row>
    <x:row r="36">
      <x:c r="A36" s="13">
        <x:v>3.5</x:v>
      </x:c>
      <x:c r="B36" s="14"/>
      <x:c r="C36" s="14" t="str">
        <x:v>Data / comms kábel (Cat6/Cat6A)</x:v>
      </x:c>
      <x:c r="D36" s="15" t="str">
        <x:v>fm</x:v>
      </x:c>
      <x:c r="E36" s="16"/>
      <x:c r="F36" s="16"/>
      <x:c r="G36" s="16"/>
      <x:c r="H36" s="16"/>
      <x:c r="I36" s="16"/>
      <x:c r="J36" s="16"/>
      <x:c r="K36" s="16"/>
      <x:c r="L36" s="16"/>
      <x:c r="M36" s="17">
        <x:f t="shared" si="2"/>
        <x:v>0</x:v>
      </x:c>
      <x:c r="N36" s="18"/>
    </x:row>
    <x:row r="37">
      <x:c r="A37" s="13">
        <x:v>3.6</x:v>
      </x:c>
      <x:c r="B37" s="14"/>
      <x:c r="C37" s="14" t="str">
        <x:v>Fibre optic kábel</x:v>
      </x:c>
      <x:c r="D37" s="15" t="str">
        <x:v>fm</x:v>
      </x:c>
      <x:c r="E37" s="16"/>
      <x:c r="F37" s="16"/>
      <x:c r="G37" s="16"/>
      <x:c r="H37" s="16"/>
      <x:c r="I37" s="16"/>
      <x:c r="J37" s="16"/>
      <x:c r="K37" s="16"/>
      <x:c r="L37" s="16"/>
      <x:c r="M37" s="17">
        <x:f t="shared" si="2"/>
        <x:v>0</x:v>
      </x:c>
      <x:c r="N37" s="18"/>
    </x:row>
    <x:row r="38">
      <x:c r="A38" s="13">
        <x:v>3.7</x:v>
      </x:c>
      <x:c r="B38" s="14"/>
      <x:c r="C38" s="14" t="str">
        <x:v>Fire riasztó kábel</x:v>
      </x:c>
      <x:c r="D38" s="15" t="str">
        <x:v>fm</x:v>
      </x:c>
      <x:c r="E38" s="16"/>
      <x:c r="F38" s="16"/>
      <x:c r="G38" s="16"/>
      <x:c r="H38" s="16"/>
      <x:c r="I38" s="16"/>
      <x:c r="J38" s="16"/>
      <x:c r="K38" s="16"/>
      <x:c r="L38" s="16"/>
      <x:c r="M38" s="17">
        <x:f t="shared" si="2"/>
        <x:v>0</x:v>
      </x:c>
      <x:c r="N38" s="18"/>
    </x:row>
    <x:row r="39">
      <x:c r="A39" s="13">
        <x:v>3.8</x:v>
      </x:c>
      <x:c r="B39" s="14"/>
      <x:c r="C39" s="14" t="str">
        <x:v>Armoured kábel</x:v>
      </x:c>
      <x:c r="D39" s="15" t="str">
        <x:v>fm</x:v>
      </x:c>
      <x:c r="E39" s="16"/>
      <x:c r="F39" s="16"/>
      <x:c r="G39" s="16"/>
      <x:c r="H39" s="16"/>
      <x:c r="I39" s="16"/>
      <x:c r="J39" s="16"/>
      <x:c r="K39" s="16"/>
      <x:c r="L39" s="16"/>
      <x:c r="M39" s="17">
        <x:f t="shared" si="2"/>
        <x:v>0</x:v>
      </x:c>
      <x:c r="N39" s="18"/>
    </x:row>
    <x:row r="40">
      <x:c r="A40" s="13">
        <x:v>3.9</x:v>
      </x:c>
      <x:c r="B40" s="14"/>
      <x:c r="C40" s="14" t="str">
        <x:v>kábel terminations / glands</x:v>
      </x:c>
      <x:c r="D40" s="15" t="str">
        <x:v>db</x:v>
      </x:c>
      <x:c r="E40" s="16"/>
      <x:c r="F40" s="16"/>
      <x:c r="G40" s="16"/>
      <x:c r="H40" s="16"/>
      <x:c r="I40" s="16"/>
      <x:c r="J40" s="16"/>
      <x:c r="K40" s="16"/>
      <x:c r="L40" s="16"/>
      <x:c r="M40" s="17">
        <x:f t="shared" si="2"/>
        <x:v>0</x:v>
      </x:c>
      <x:c r="N40" s="18"/>
    </x:row>
    <x:row r="41">
      <x:c r="A41" s="10"/>
      <x:c r="B41" s="75" t="str">
        <x:v>VILÁGÍTÁS</x:v>
      </x:c>
      <x:c r="C41" s="75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2"/>
    </x:row>
    <x:row r="42">
      <x:c r="A42" s="13">
        <x:v>4.0999999999999996</x:v>
      </x:c>
      <x:c r="B42" s="14"/>
      <x:c r="C42" s="14" t="str">
        <x:v>LED panel lámpatest (600x600)</x:v>
      </x:c>
      <x:c r="D42" s="15" t="str">
        <x:v>db</x:v>
      </x:c>
      <x:c r="E42" s="16"/>
      <x:c r="F42" s="16"/>
      <x:c r="G42" s="16"/>
      <x:c r="H42" s="16"/>
      <x:c r="I42" s="16"/>
      <x:c r="J42" s="16"/>
      <x:c r="K42" s="16"/>
      <x:c r="L42" s="16"/>
      <x:c r="M42" s="17" t="n">
        <x:f t="shared" ref="M42:M52" si="3">SUM(E42:L42)</x:f>
        <x:v>0</x:v>
      </x:c>
      <x:c r="N42" s="18"/>
    </x:row>
    <x:row r="43">
      <x:c r="A43" s="13">
        <x:v>4.2</x:v>
      </x:c>
      <x:c r="B43" s="14"/>
      <x:c r="C43" s="14" t="s">
        <x:v>2</x:v>
      </x:c>
      <x:c r="D43" s="15" t="str">
        <x:v>db</x:v>
      </x:c>
      <x:c r="E43" s="16"/>
      <x:c r="F43" s="16"/>
      <x:c r="G43" s="16"/>
      <x:c r="H43" s="16"/>
      <x:c r="I43" s="16"/>
      <x:c r="J43" s="16"/>
      <x:c r="K43" s="16"/>
      <x:c r="L43" s="16"/>
      <x:c r="M43" s="17">
        <x:f t="shared" si="3"/>
        <x:v>0</x:v>
      </x:c>
      <x:c r="N43" s="18"/>
    </x:row>
    <x:row r="44">
      <x:c r="A44" s="13">
        <x:v>4.3</x:v>
      </x:c>
      <x:c r="B44" s="14"/>
      <x:c r="C44" s="14" t="str">
        <x:v>LED lécváz / linear luminaire</x:v>
      </x:c>
      <x:c r="D44" s="15" t="str">
        <x:v>db</x:v>
      </x:c>
      <x:c r="E44" s="16"/>
      <x:c r="F44" s="16"/>
      <x:c r="G44" s="16"/>
      <x:c r="H44" s="16"/>
      <x:c r="I44" s="16"/>
      <x:c r="J44" s="16"/>
      <x:c r="K44" s="16"/>
      <x:c r="L44" s="16"/>
      <x:c r="M44" s="17">
        <x:f t="shared" si="3"/>
        <x:v>0</x:v>
      </x:c>
      <x:c r="N44" s="18"/>
    </x:row>
    <x:row r="45">
      <x:c r="A45" s="13">
        <x:v>4.4000000000000004</x:v>
      </x:c>
      <x:c r="B45" s="14"/>
      <x:c r="C45" s="14" t="str">
        <x:v>magas bay luminaire</x:v>
      </x:c>
      <x:c r="D45" s="15" t="str">
        <x:v>db</x:v>
      </x:c>
      <x:c r="E45" s="16"/>
      <x:c r="F45" s="16"/>
      <x:c r="G45" s="16"/>
      <x:c r="H45" s="16"/>
      <x:c r="I45" s="16"/>
      <x:c r="J45" s="16"/>
      <x:c r="K45" s="16"/>
      <x:c r="L45" s="16"/>
      <x:c r="M45" s="17">
        <x:f t="shared" si="3"/>
        <x:v>0</x:v>
      </x:c>
      <x:c r="N45" s="18"/>
    </x:row>
    <x:row r="46">
      <x:c r="A46" s="13">
        <x:v>4.5</x:v>
      </x:c>
      <x:c r="B46" s="14"/>
      <x:c r="C46" s="14" t="str">
        <x:v>dobozolás / álmennyezeti leugrás / fali lámpatest</x:v>
      </x:c>
      <x:c r="D46" s="15" t="str">
        <x:v>db</x:v>
      </x:c>
      <x:c r="E46" s="16"/>
      <x:c r="F46" s="16"/>
      <x:c r="G46" s="16"/>
      <x:c r="H46" s="16"/>
      <x:c r="I46" s="16"/>
      <x:c r="J46" s="16"/>
      <x:c r="K46" s="16"/>
      <x:c r="L46" s="16"/>
      <x:c r="M46" s="17">
        <x:f t="shared" si="3"/>
        <x:v>0</x:v>
      </x:c>
      <x:c r="N46" s="18"/>
    </x:row>
    <x:row r="47">
      <x:c r="A47" s="13">
        <x:v>4.5999999999999996</x:v>
      </x:c>
      <x:c r="B47" s="14"/>
      <x:c r="C47" s="14" t="s">
        <x:v>3</x:v>
      </x:c>
      <x:c r="D47" s="15" t="str">
        <x:v>db</x:v>
      </x:c>
      <x:c r="E47" s="16"/>
      <x:c r="F47" s="16"/>
      <x:c r="G47" s="16"/>
      <x:c r="H47" s="16"/>
      <x:c r="I47" s="16"/>
      <x:c r="J47" s="16"/>
      <x:c r="K47" s="16"/>
      <x:c r="L47" s="16"/>
      <x:c r="M47" s="17">
        <x:f t="shared" si="3"/>
        <x:v>0</x:v>
      </x:c>
      <x:c r="N47" s="18"/>
    </x:row>
    <x:row r="48">
      <x:c r="A48" s="13">
        <x:v>4.7</x:v>
      </x:c>
      <x:c r="B48" s="14"/>
      <x:c r="C48" s="14" t="s">
        <x:v>4</x:v>
      </x:c>
      <x:c r="D48" s="15" t="str">
        <x:v>db</x:v>
      </x:c>
      <x:c r="E48" s="16"/>
      <x:c r="F48" s="16"/>
      <x:c r="G48" s="16"/>
      <x:c r="H48" s="16"/>
      <x:c r="I48" s="16"/>
      <x:c r="J48" s="16"/>
      <x:c r="K48" s="16"/>
      <x:c r="L48" s="16"/>
      <x:c r="M48" s="17">
        <x:f t="shared" si="3"/>
        <x:v>0</x:v>
      </x:c>
      <x:c r="N48" s="18"/>
    </x:row>
    <x:row r="49">
      <x:c r="A49" s="13">
        <x:v>4.8</x:v>
      </x:c>
      <x:c r="B49" s="14"/>
      <x:c r="C49" s="14" t="s">
        <x:v>5</x:v>
      </x:c>
      <x:c r="D49" s="15" t="str">
        <x:v>db</x:v>
      </x:c>
      <x:c r="E49" s="16"/>
      <x:c r="F49" s="16"/>
      <x:c r="G49" s="16"/>
      <x:c r="H49" s="16"/>
      <x:c r="I49" s="16"/>
      <x:c r="J49" s="16"/>
      <x:c r="K49" s="16"/>
      <x:c r="L49" s="16"/>
      <x:c r="M49" s="17">
        <x:f t="shared" si="3"/>
        <x:v>0</x:v>
      </x:c>
      <x:c r="N49" s="18"/>
    </x:row>
    <x:row r="50">
      <x:c r="A50" s="13">
        <x:v>4.9000000000000004</x:v>
      </x:c>
      <x:c r="B50" s="14"/>
      <x:c r="C50" s="14" t="s">
        <x:v>6</x:v>
      </x:c>
      <x:c r="D50" s="15" t="str">
        <x:v>db</x:v>
      </x:c>
      <x:c r="E50" s="16"/>
      <x:c r="F50" s="16"/>
      <x:c r="G50" s="16"/>
      <x:c r="H50" s="16"/>
      <x:c r="I50" s="16"/>
      <x:c r="J50" s="16"/>
      <x:c r="K50" s="16"/>
      <x:c r="L50" s="16"/>
      <x:c r="M50" s="17">
        <x:f t="shared" si="3"/>
        <x:v>0</x:v>
      </x:c>
      <x:c r="N50" s="18"/>
    </x:row>
    <x:row r="51">
      <x:c r="A51" s="13">
        <x:v>4.0999999999999996</x:v>
      </x:c>
      <x:c r="B51" s="14"/>
      <x:c r="C51" s="14" t="str">
        <x:v>Lighting control érzékelő / PIR</x:v>
      </x:c>
      <x:c r="D51" s="15" t="str">
        <x:v>db</x:v>
      </x:c>
      <x:c r="E51" s="16"/>
      <x:c r="F51" s="16"/>
      <x:c r="G51" s="16"/>
      <x:c r="H51" s="16"/>
      <x:c r="I51" s="16"/>
      <x:c r="J51" s="16"/>
      <x:c r="K51" s="16"/>
      <x:c r="L51" s="16"/>
      <x:c r="M51" s="17">
        <x:f t="shared" si="3"/>
        <x:v>0</x:v>
      </x:c>
      <x:c r="N51" s="18"/>
    </x:row>
    <x:row r="52">
      <x:c r="A52" s="13">
        <x:v>4.1100000000000003</x:v>
      </x:c>
      <x:c r="B52" s="14"/>
      <x:c r="C52" s="14" t="s">
        <x:v>7</x:v>
      </x:c>
      <x:c r="D52" s="15" t="str">
        <x:v>db</x:v>
      </x:c>
      <x:c r="E52" s="16"/>
      <x:c r="F52" s="16"/>
      <x:c r="G52" s="16"/>
      <x:c r="H52" s="16"/>
      <x:c r="I52" s="16"/>
      <x:c r="J52" s="16"/>
      <x:c r="K52" s="16"/>
      <x:c r="L52" s="16"/>
      <x:c r="M52" s="17">
        <x:f t="shared" si="3"/>
        <x:v>0</x:v>
      </x:c>
      <x:c r="N52" s="18"/>
    </x:row>
    <x:row r="53">
      <x:c r="A53" s="10"/>
      <x:c r="B53" s="75" t="str">
        <x:v>ELOSZTÓK ÉS ENERGIAELOSZTÁS</x:v>
      </x:c>
      <x:c r="C53" s="75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2"/>
    </x:row>
    <x:row r="54">
      <x:c r="A54" s="13">
        <x:v>5.0999999999999996</x:v>
      </x:c>
      <x:c r="B54" s="14"/>
      <x:c r="C54" s="14" t="str">
        <x:v>Main elosztószekrény (MSB)</x:v>
      </x:c>
      <x:c r="D54" s="15" t="str">
        <x:v>db</x:v>
      </x:c>
      <x:c r="E54" s="16"/>
      <x:c r="F54" s="16"/>
      <x:c r="G54" s="16"/>
      <x:c r="H54" s="16"/>
      <x:c r="I54" s="16"/>
      <x:c r="J54" s="16"/>
      <x:c r="K54" s="16"/>
      <x:c r="L54" s="16"/>
      <x:c r="M54" s="17" t="n">
        <x:f t="shared" ref="M54:M61" si="4">SUM(E54:L54)</x:f>
        <x:v>0</x:v>
      </x:c>
      <x:c r="N54" s="18"/>
    </x:row>
    <x:row r="55">
      <x:c r="A55" s="13">
        <x:v>5.2</x:v>
      </x:c>
      <x:c r="B55" s="14"/>
      <x:c r="C55" s="14" t="str">
        <x:v>Sub-main alelosztó (SMDB)</x:v>
      </x:c>
      <x:c r="D55" s="15" t="str">
        <x:v>db</x:v>
      </x:c>
      <x:c r="E55" s="16"/>
      <x:c r="F55" s="16"/>
      <x:c r="G55" s="16"/>
      <x:c r="H55" s="16"/>
      <x:c r="I55" s="16"/>
      <x:c r="J55" s="16"/>
      <x:c r="K55" s="16"/>
      <x:c r="L55" s="16"/>
      <x:c r="M55" s="17">
        <x:f t="shared" si="4"/>
        <x:v>0</x:v>
      </x:c>
      <x:c r="N55" s="18"/>
    </x:row>
    <x:row r="56">
      <x:c r="A56" s="13">
        <x:v>5.3</x:v>
      </x:c>
      <x:c r="B56" s="14"/>
      <x:c r="C56" s="14" t="str">
        <x:v>Final alelosztó (DB)</x:v>
      </x:c>
      <x:c r="D56" s="15" t="str">
        <x:v>db</x:v>
      </x:c>
      <x:c r="E56" s="16"/>
      <x:c r="F56" s="16"/>
      <x:c r="G56" s="16"/>
      <x:c r="H56" s="16"/>
      <x:c r="I56" s="16"/>
      <x:c r="J56" s="16"/>
      <x:c r="K56" s="16"/>
      <x:c r="L56" s="16"/>
      <x:c r="M56" s="17">
        <x:f t="shared" si="4"/>
        <x:v>0</x:v>
      </x:c>
      <x:c r="N56" s="18"/>
    </x:row>
    <x:row r="57">
      <x:c r="A57" s="13">
        <x:v>5.4</x:v>
      </x:c>
      <x:c r="B57" s="14"/>
      <x:c r="C57" s="14" t="str">
        <x:v>automatikus transfer switch (ATS)</x:v>
      </x:c>
      <x:c r="D57" s="15" t="str">
        <x:v>db</x:v>
      </x:c>
      <x:c r="E57" s="16"/>
      <x:c r="F57" s="16"/>
      <x:c r="G57" s="16"/>
      <x:c r="H57" s="16"/>
      <x:c r="I57" s="16"/>
      <x:c r="J57" s="16"/>
      <x:c r="K57" s="16"/>
      <x:c r="L57" s="16"/>
      <x:c r="M57" s="17">
        <x:f t="shared" si="4"/>
        <x:v>0</x:v>
      </x:c>
      <x:c r="N57" s="18"/>
    </x:row>
    <x:row r="58">
      <x:c r="A58" s="13">
        <x:v>5.5</x:v>
      </x:c>
      <x:c r="B58" s="14"/>
      <x:c r="C58" s="14" t="s">
        <x:v>8</x:v>
      </x:c>
      <x:c r="D58" s="15" t="str">
        <x:v>db</x:v>
      </x:c>
      <x:c r="E58" s="16"/>
      <x:c r="F58" s="16"/>
      <x:c r="G58" s="16"/>
      <x:c r="H58" s="16"/>
      <x:c r="I58" s="16"/>
      <x:c r="J58" s="16"/>
      <x:c r="K58" s="16"/>
      <x:c r="L58" s="16"/>
      <x:c r="M58" s="17">
        <x:f t="shared" si="4"/>
        <x:v>0</x:v>
      </x:c>
      <x:c r="N58" s="18"/>
    </x:row>
    <x:row r="59">
      <x:c r="A59" s="13">
        <x:v>5.6</x:v>
      </x:c>
      <x:c r="B59" s="14"/>
      <x:c r="C59" s="14" t="s">
        <x:v>9</x:v>
      </x:c>
      <x:c r="D59" s="15" t="str">
        <x:v>db</x:v>
      </x:c>
      <x:c r="E59" s="16"/>
      <x:c r="F59" s="16"/>
      <x:c r="G59" s="16"/>
      <x:c r="H59" s="16"/>
      <x:c r="I59" s="16"/>
      <x:c r="J59" s="16"/>
      <x:c r="K59" s="16"/>
      <x:c r="L59" s="16"/>
      <x:c r="M59" s="17">
        <x:f t="shared" si="4"/>
        <x:v>0</x:v>
      </x:c>
      <x:c r="N59" s="18"/>
    </x:row>
    <x:row r="60">
      <x:c r="A60" s="13">
        <x:v>5.7</x:v>
      </x:c>
      <x:c r="B60" s="14"/>
      <x:c r="C60" s="14" t="s">
        <x:v>10</x:v>
      </x:c>
      <x:c r="D60" s="15" t="str">
        <x:v>db</x:v>
      </x:c>
      <x:c r="E60" s="16"/>
      <x:c r="F60" s="16"/>
      <x:c r="G60" s="16"/>
      <x:c r="H60" s="16"/>
      <x:c r="I60" s="16"/>
      <x:c r="J60" s="16"/>
      <x:c r="K60" s="16"/>
      <x:c r="L60" s="16"/>
      <x:c r="M60" s="17">
        <x:f t="shared" si="4"/>
        <x:v>0</x:v>
      </x:c>
      <x:c r="N60" s="18"/>
    </x:row>
    <x:row r="61">
      <x:c r="A61" s="13">
        <x:v>5.8</x:v>
      </x:c>
      <x:c r="B61" s="14"/>
      <x:c r="C61" s="14" t="s">
        <x:v>11</x:v>
      </x:c>
      <x:c r="D61" s="15" t="str">
        <x:v>db</x:v>
      </x:c>
      <x:c r="E61" s="16"/>
      <x:c r="F61" s="16"/>
      <x:c r="G61" s="16"/>
      <x:c r="H61" s="16"/>
      <x:c r="I61" s="16"/>
      <x:c r="J61" s="16"/>
      <x:c r="K61" s="16"/>
      <x:c r="L61" s="16"/>
      <x:c r="M61" s="17">
        <x:f t="shared" si="4"/>
        <x:v>0</x:v>
      </x:c>
      <x:c r="N61" s="18"/>
    </x:row>
    <x:row r="62">
      <x:c r="A62" s="10"/>
      <x:c r="B62" s="75" t="str">
        <x:v>DUGASZOLÓALJZATOK ÉS TARTOZÉKOK</x:v>
      </x:c>
      <x:c r="C62" s="75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2"/>
    </x:row>
    <x:row r="63">
      <x:c r="A63" s="13">
        <x:v>6.1</x:v>
      </x:c>
      <x:c r="B63" s="14"/>
      <x:c r="C63" s="14" t="str">
        <x:v>egyszárnyú GPO (általános dugaszolóaljzat)</x:v>
      </x:c>
      <x:c r="D63" s="15" t="str">
        <x:v>db</x:v>
      </x:c>
      <x:c r="E63" s="16"/>
      <x:c r="F63" s="16"/>
      <x:c r="G63" s="16"/>
      <x:c r="H63" s="16"/>
      <x:c r="I63" s="16"/>
      <x:c r="J63" s="16"/>
      <x:c r="K63" s="16"/>
      <x:c r="L63" s="16"/>
      <x:c r="M63" s="17" t="n">
        <x:f t="shared" ref="M63:M71" si="5">SUM(E63:L63)</x:f>
        <x:v>0</x:v>
      </x:c>
      <x:c r="N63" s="18"/>
    </x:row>
    <x:row r="64">
      <x:c r="A64" s="13">
        <x:v>6.2</x:v>
      </x:c>
      <x:c r="B64" s="14"/>
      <x:c r="C64" s="14" t="s">
        <x:v>12</x:v>
      </x:c>
      <x:c r="D64" s="15" t="str">
        <x:v>db</x:v>
      </x:c>
      <x:c r="E64" s="16"/>
      <x:c r="F64" s="16"/>
      <x:c r="G64" s="16"/>
      <x:c r="H64" s="16"/>
      <x:c r="I64" s="16"/>
      <x:c r="J64" s="16"/>
      <x:c r="K64" s="16"/>
      <x:c r="L64" s="16"/>
      <x:c r="M64" s="17">
        <x:f t="shared" si="5"/>
        <x:v>0</x:v>
      </x:c>
      <x:c r="N64" s="18"/>
    </x:row>
    <x:row r="65">
      <x:c r="A65" s="13">
        <x:v>6.3</x:v>
      </x:c>
      <x:c r="B65" s="14"/>
      <x:c r="C65" s="14" t="str">
        <x:v>padló box / service outlet</x:v>
      </x:c>
      <x:c r="D65" s="15" t="str">
        <x:v>db</x:v>
      </x:c>
      <x:c r="E65" s="16"/>
      <x:c r="F65" s="16"/>
      <x:c r="G65" s="16"/>
      <x:c r="H65" s="16"/>
      <x:c r="I65" s="16"/>
      <x:c r="J65" s="16"/>
      <x:c r="K65" s="16"/>
      <x:c r="L65" s="16"/>
      <x:c r="M65" s="17">
        <x:f t="shared" si="5"/>
        <x:v>0</x:v>
      </x:c>
      <x:c r="N65" s="18"/>
    </x:row>
    <x:row r="66">
      <x:c r="A66" s="13">
        <x:v>6.4</x:v>
      </x:c>
      <x:c r="B66" s="14"/>
      <x:c r="C66" s="14" t="s">
        <x:v>13</x:v>
      </x:c>
      <x:c r="D66" s="15" t="str">
        <x:v>db</x:v>
      </x:c>
      <x:c r="E66" s="16"/>
      <x:c r="F66" s="16"/>
      <x:c r="G66" s="16"/>
      <x:c r="H66" s="16"/>
      <x:c r="I66" s="16"/>
      <x:c r="J66" s="16"/>
      <x:c r="K66" s="16"/>
      <x:c r="L66" s="16"/>
      <x:c r="M66" s="17">
        <x:f t="shared" si="5"/>
        <x:v>0</x:v>
      </x:c>
      <x:c r="N66" s="18"/>
    </x:row>
    <x:row r="67">
      <x:c r="A67" s="13">
        <x:v>6.5</x:v>
      </x:c>
      <x:c r="B67" s="14"/>
      <x:c r="C67" s="14" t="s">
        <x:v>14</x:v>
      </x:c>
      <x:c r="D67" s="15" t="str">
        <x:v>db</x:v>
      </x:c>
      <x:c r="E67" s="16"/>
      <x:c r="F67" s="16"/>
      <x:c r="G67" s="16"/>
      <x:c r="H67" s="16"/>
      <x:c r="I67" s="16"/>
      <x:c r="J67" s="16"/>
      <x:c r="K67" s="16"/>
      <x:c r="L67" s="16"/>
      <x:c r="M67" s="17">
        <x:f t="shared" si="5"/>
        <x:v>0</x:v>
      </x:c>
      <x:c r="N67" s="18"/>
    </x:row>
    <x:row r="68">
      <x:c r="A68" s="13">
        <x:v>6.6</x:v>
      </x:c>
      <x:c r="B68" s="14"/>
      <x:c r="C68" s="14" t="s">
        <x:v>15</x:v>
      </x:c>
      <x:c r="D68" s="15" t="str">
        <x:v>db</x:v>
      </x:c>
      <x:c r="E68" s="16"/>
      <x:c r="F68" s="16"/>
      <x:c r="G68" s="16"/>
      <x:c r="H68" s="16"/>
      <x:c r="I68" s="16"/>
      <x:c r="J68" s="16"/>
      <x:c r="K68" s="16"/>
      <x:c r="L68" s="16"/>
      <x:c r="M68" s="17">
        <x:f t="shared" si="5"/>
        <x:v>0</x:v>
      </x:c>
      <x:c r="N68" s="18"/>
    </x:row>
    <x:row r="69">
      <x:c r="A69" s="13">
        <x:v>6.7</x:v>
      </x:c>
      <x:c r="B69" s="14"/>
      <x:c r="C69" s="14" t="s">
        <x:v>16</x:v>
      </x:c>
      <x:c r="D69" s="15" t="str">
        <x:v>db</x:v>
      </x:c>
      <x:c r="E69" s="16"/>
      <x:c r="F69" s="16"/>
      <x:c r="G69" s="16"/>
      <x:c r="H69" s="16"/>
      <x:c r="I69" s="16"/>
      <x:c r="J69" s="16"/>
      <x:c r="K69" s="16"/>
      <x:c r="L69" s="16"/>
      <x:c r="M69" s="17">
        <x:f t="shared" si="5"/>
        <x:v>0</x:v>
      </x:c>
      <x:c r="N69" s="18"/>
    </x:row>
    <x:row r="70">
      <x:c r="A70" s="13">
        <x:v>6.8</x:v>
      </x:c>
      <x:c r="B70" s="14"/>
      <x:c r="C70" s="14" t="str">
        <x:v>csatlakozás - mechanical equipment</x:v>
      </x:c>
      <x:c r="D70" s="15" t="str">
        <x:v>db</x:v>
      </x:c>
      <x:c r="E70" s="16"/>
      <x:c r="F70" s="16"/>
      <x:c r="G70" s="16"/>
      <x:c r="H70" s="16"/>
      <x:c r="I70" s="16"/>
      <x:c r="J70" s="16"/>
      <x:c r="K70" s="16"/>
      <x:c r="L70" s="16"/>
      <x:c r="M70" s="17">
        <x:f t="shared" si="5"/>
        <x:v>0</x:v>
      </x:c>
      <x:c r="N70" s="18"/>
    </x:row>
    <x:row r="71">
      <x:c r="A71" s="13">
        <x:v>6.9</x:v>
      </x:c>
      <x:c r="B71" s="14"/>
      <x:c r="C71" s="14" t="str">
        <x:v>csatlakozás - BMS</x:v>
      </x:c>
      <x:c r="D71" s="15" t="str">
        <x:v>db</x:v>
      </x:c>
      <x:c r="E71" s="16"/>
      <x:c r="F71" s="16"/>
      <x:c r="G71" s="16"/>
      <x:c r="H71" s="16"/>
      <x:c r="I71" s="16"/>
      <x:c r="J71" s="16"/>
      <x:c r="K71" s="16"/>
      <x:c r="L71" s="16"/>
      <x:c r="M71" s="17">
        <x:f t="shared" si="5"/>
        <x:v>0</x:v>
      </x:c>
      <x:c r="N71" s="18"/>
    </x:row>
    <x:row r="72">
      <x:c r="A72" s="10"/>
      <x:c r="B72" s="75" t="str">
        <x:v>TŰZJELZŐ ÉS RIASZTÓ RENDSZER</x:v>
      </x:c>
      <x:c r="C72" s="75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2"/>
    </x:row>
    <x:row r="73">
      <x:c r="A73" s="13">
        <x:v>7.1</x:v>
      </x:c>
      <x:c r="B73" s="14"/>
      <x:c r="C73" s="14" t="s">
        <x:v>17</x:v>
      </x:c>
      <x:c r="D73" s="15" t="str">
        <x:v>db</x:v>
      </x:c>
      <x:c r="E73" s="16"/>
      <x:c r="F73" s="16"/>
      <x:c r="G73" s="16"/>
      <x:c r="H73" s="16"/>
      <x:c r="I73" s="16"/>
      <x:c r="J73" s="16"/>
      <x:c r="K73" s="16"/>
      <x:c r="L73" s="16"/>
      <x:c r="M73" s="17" t="n">
        <x:f t="shared" ref="M73:M81" si="6">SUM(E73:L73)</x:f>
        <x:v>0</x:v>
      </x:c>
      <x:c r="N73" s="18"/>
    </x:row>
    <x:row r="74">
      <x:c r="A74" s="13">
        <x:v>7.2</x:v>
      </x:c>
      <x:c r="B74" s="14"/>
      <x:c r="C74" s="14" t="s">
        <x:v>18</x:v>
      </x:c>
      <x:c r="D74" s="15" t="str">
        <x:v>db</x:v>
      </x:c>
      <x:c r="E74" s="16"/>
      <x:c r="F74" s="16"/>
      <x:c r="G74" s="16"/>
      <x:c r="H74" s="16"/>
      <x:c r="I74" s="16"/>
      <x:c r="J74" s="16"/>
      <x:c r="K74" s="16"/>
      <x:c r="L74" s="16"/>
      <x:c r="M74" s="17">
        <x:f t="shared" si="6"/>
        <x:v>0</x:v>
      </x:c>
      <x:c r="N74" s="18"/>
    </x:row>
    <x:row r="75">
      <x:c r="A75" s="13">
        <x:v>7.3</x:v>
      </x:c>
      <x:c r="B75" s="14"/>
      <x:c r="C75" s="14" t="s">
        <x:v>19</x:v>
      </x:c>
      <x:c r="D75" s="15" t="str">
        <x:v>db</x:v>
      </x:c>
      <x:c r="E75" s="16"/>
      <x:c r="F75" s="16"/>
      <x:c r="G75" s="16"/>
      <x:c r="H75" s="16"/>
      <x:c r="I75" s="16"/>
      <x:c r="J75" s="16"/>
      <x:c r="K75" s="16"/>
      <x:c r="L75" s="16"/>
      <x:c r="M75" s="17">
        <x:f t="shared" si="6"/>
        <x:v>0</x:v>
      </x:c>
      <x:c r="N75" s="18"/>
    </x:row>
    <x:row r="76">
      <x:c r="A76" s="13">
        <x:v>7.4</x:v>
      </x:c>
      <x:c r="B76" s="14"/>
      <x:c r="C76" s="14" t="s">
        <x:v>20</x:v>
      </x:c>
      <x:c r="D76" s="15" t="str">
        <x:v>db</x:v>
      </x:c>
      <x:c r="E76" s="16"/>
      <x:c r="F76" s="16"/>
      <x:c r="G76" s="16"/>
      <x:c r="H76" s="16"/>
      <x:c r="I76" s="16"/>
      <x:c r="J76" s="16"/>
      <x:c r="K76" s="16"/>
      <x:c r="L76" s="16"/>
      <x:c r="M76" s="17">
        <x:f t="shared" si="6"/>
        <x:v>0</x:v>
      </x:c>
      <x:c r="N76" s="18"/>
    </x:row>
    <x:row r="77">
      <x:c r="A77" s="13">
        <x:v>7.5</x:v>
      </x:c>
      <x:c r="B77" s="14"/>
      <x:c r="C77" s="14" t="str">
        <x:v>Fire riasztó sounder / horn</x:v>
      </x:c>
      <x:c r="D77" s="15" t="str">
        <x:v>db</x:v>
      </x:c>
      <x:c r="E77" s="16"/>
      <x:c r="F77" s="16"/>
      <x:c r="G77" s="16"/>
      <x:c r="H77" s="16"/>
      <x:c r="I77" s="16"/>
      <x:c r="J77" s="16"/>
      <x:c r="K77" s="16"/>
      <x:c r="L77" s="16"/>
      <x:c r="M77" s="17">
        <x:f t="shared" si="6"/>
        <x:v>0</x:v>
      </x:c>
      <x:c r="N77" s="18"/>
    </x:row>
    <x:row r="78">
      <x:c r="A78" s="13">
        <x:v>7.6</x:v>
      </x:c>
      <x:c r="B78" s="14"/>
      <x:c r="C78" s="14" t="str">
        <x:v>Fire riasztó strobe / beacon</x:v>
      </x:c>
      <x:c r="D78" s="15" t="str">
        <x:v>db</x:v>
      </x:c>
      <x:c r="E78" s="16"/>
      <x:c r="F78" s="16"/>
      <x:c r="G78" s="16"/>
      <x:c r="H78" s="16"/>
      <x:c r="I78" s="16"/>
      <x:c r="J78" s="16"/>
      <x:c r="K78" s="16"/>
      <x:c r="L78" s="16"/>
      <x:c r="M78" s="17">
        <x:f t="shared" si="6"/>
        <x:v>0</x:v>
      </x:c>
      <x:c r="N78" s="18"/>
    </x:row>
    <x:row r="79">
      <x:c r="A79" s="13">
        <x:v>7.7</x:v>
      </x:c>
      <x:c r="B79" s="14"/>
      <x:c r="C79" s="14" t="s">
        <x:v>21</x:v>
      </x:c>
      <x:c r="D79" s="15" t="str">
        <x:v>db</x:v>
      </x:c>
      <x:c r="E79" s="16"/>
      <x:c r="F79" s="16"/>
      <x:c r="G79" s="16"/>
      <x:c r="H79" s="16"/>
      <x:c r="I79" s="16"/>
      <x:c r="J79" s="16"/>
      <x:c r="K79" s="16"/>
      <x:c r="L79" s="16"/>
      <x:c r="M79" s="17">
        <x:f t="shared" si="6"/>
        <x:v>0</x:v>
      </x:c>
      <x:c r="N79" s="18"/>
    </x:row>
    <x:row r="80">
      <x:c r="A80" s="13">
        <x:v>7.8</x:v>
      </x:c>
      <x:c r="B80" s="14"/>
      <x:c r="C80" s="14" t="str">
        <x:v>Fire riasztó panel (FACP)</x:v>
      </x:c>
      <x:c r="D80" s="15" t="str">
        <x:v>db</x:v>
      </x:c>
      <x:c r="E80" s="16"/>
      <x:c r="F80" s="16"/>
      <x:c r="G80" s="16"/>
      <x:c r="H80" s="16"/>
      <x:c r="I80" s="16"/>
      <x:c r="J80" s="16"/>
      <x:c r="K80" s="16"/>
      <x:c r="L80" s="16"/>
      <x:c r="M80" s="17">
        <x:f t="shared" si="6"/>
        <x:v>0</x:v>
      </x:c>
      <x:c r="N80" s="18"/>
    </x:row>
    <x:row r="81">
      <x:c r="A81" s="13">
        <x:v>7.9</x:v>
      </x:c>
      <x:c r="B81" s="14"/>
      <x:c r="C81" s="14" t="str">
        <x:v>Fire ajtó hold-open device</x:v>
      </x:c>
      <x:c r="D81" s="15" t="str">
        <x:v>db</x:v>
      </x:c>
      <x:c r="E81" s="16"/>
      <x:c r="F81" s="16"/>
      <x:c r="G81" s="16"/>
      <x:c r="H81" s="16"/>
      <x:c r="I81" s="16"/>
      <x:c r="J81" s="16"/>
      <x:c r="K81" s="16"/>
      <x:c r="L81" s="16"/>
      <x:c r="M81" s="17">
        <x:f t="shared" si="6"/>
        <x:v>0</x:v>
      </x:c>
      <x:c r="N81" s="18"/>
    </x:row>
    <x:row r="82">
      <x:c r="A82" s="10"/>
      <x:c r="B82" s="75" t="str">
        <x:v>ADAT- ÉS KOMMUNIKÁCIÓS RENDSZEREK</x:v>
      </x:c>
      <x:c r="C82" s="75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2"/>
    </x:row>
    <x:row r="83">
      <x:c r="A83" s="13">
        <x:v>8.1</x:v>
      </x:c>
      <x:c r="B83" s="14"/>
      <x:c r="C83" s="14" t="str">
        <x:v>adatcsatlakozó (egyszárnyú)</x:v>
      </x:c>
      <x:c r="D83" s="15" t="str">
        <x:v>db</x:v>
      </x:c>
      <x:c r="E83" s="16"/>
      <x:c r="F83" s="16"/>
      <x:c r="G83" s="16"/>
      <x:c r="H83" s="16"/>
      <x:c r="I83" s="16"/>
      <x:c r="J83" s="16"/>
      <x:c r="K83" s="16"/>
      <x:c r="L83" s="16"/>
      <x:c r="M83" s="17" t="n">
        <x:f t="shared" ref="M83:M91" si="7">SUM(E83:L83)</x:f>
        <x:v>0</x:v>
      </x:c>
      <x:c r="N83" s="18"/>
    </x:row>
    <x:row r="84">
      <x:c r="A84" s="13">
        <x:v>8.1999999999999993</x:v>
      </x:c>
      <x:c r="B84" s="14"/>
      <x:c r="C84" s="14" t="str">
        <x:v>adatcsatlakozó (double)</x:v>
      </x:c>
      <x:c r="D84" s="15" t="str">
        <x:v>db</x:v>
      </x:c>
      <x:c r="E84" s="16"/>
      <x:c r="F84" s="16"/>
      <x:c r="G84" s="16"/>
      <x:c r="H84" s="16"/>
      <x:c r="I84" s="16"/>
      <x:c r="J84" s="16"/>
      <x:c r="K84" s="16"/>
      <x:c r="L84" s="16"/>
      <x:c r="M84" s="17">
        <x:f t="shared" si="7"/>
        <x:v>0</x:v>
      </x:c>
      <x:c r="N84" s="18"/>
    </x:row>
    <x:row r="85">
      <x:c r="A85" s="13">
        <x:v>8.3000000000000007</x:v>
      </x:c>
      <x:c r="B85" s="14"/>
      <x:c r="C85" s="14" t="s">
        <x:v>22</x:v>
      </x:c>
      <x:c r="D85" s="15" t="str">
        <x:v>db</x:v>
      </x:c>
      <x:c r="E85" s="16"/>
      <x:c r="F85" s="16"/>
      <x:c r="G85" s="16"/>
      <x:c r="H85" s="16"/>
      <x:c r="I85" s="16"/>
      <x:c r="J85" s="16"/>
      <x:c r="K85" s="16"/>
      <x:c r="L85" s="16"/>
      <x:c r="M85" s="17">
        <x:f t="shared" si="7"/>
        <x:v>0</x:v>
      </x:c>
      <x:c r="N85" s="18"/>
    </x:row>
    <x:row r="86">
      <x:c r="A86" s="13">
        <x:v>8.4</x:v>
      </x:c>
      <x:c r="B86" s="14"/>
      <x:c r="C86" s="14" t="s">
        <x:v>23</x:v>
      </x:c>
      <x:c r="D86" s="15" t="str">
        <x:v>db</x:v>
      </x:c>
      <x:c r="E86" s="16"/>
      <x:c r="F86" s="16"/>
      <x:c r="G86" s="16"/>
      <x:c r="H86" s="16"/>
      <x:c r="I86" s="16"/>
      <x:c r="J86" s="16"/>
      <x:c r="K86" s="16"/>
      <x:c r="L86" s="16"/>
      <x:c r="M86" s="17">
        <x:f t="shared" si="7"/>
        <x:v>0</x:v>
      </x:c>
      <x:c r="N86" s="18"/>
    </x:row>
    <x:row r="87">
      <x:c r="A87" s="13">
        <x:v>8.5</x:v>
      </x:c>
      <x:c r="B87" s="14"/>
      <x:c r="C87" s="14" t="s">
        <x:v>24</x:v>
      </x:c>
      <x:c r="D87" s="15" t="str">
        <x:v>db</x:v>
      </x:c>
      <x:c r="E87" s="16"/>
      <x:c r="F87" s="16"/>
      <x:c r="G87" s="16"/>
      <x:c r="H87" s="16"/>
      <x:c r="I87" s="16"/>
      <x:c r="J87" s="16"/>
      <x:c r="K87" s="16"/>
      <x:c r="L87" s="16"/>
      <x:c r="M87" s="17">
        <x:f t="shared" si="7"/>
        <x:v>0</x:v>
      </x:c>
      <x:c r="N87" s="18"/>
    </x:row>
    <x:row r="88">
      <x:c r="A88" s="13">
        <x:v>8.6</x:v>
      </x:c>
      <x:c r="B88" s="14"/>
      <x:c r="C88" s="14" t="s">
        <x:v>25</x:v>
      </x:c>
      <x:c r="D88" s="15" t="str">
        <x:v>db</x:v>
      </x:c>
      <x:c r="E88" s="16"/>
      <x:c r="F88" s="16"/>
      <x:c r="G88" s="16"/>
      <x:c r="H88" s="16"/>
      <x:c r="I88" s="16"/>
      <x:c r="J88" s="16"/>
      <x:c r="K88" s="16"/>
      <x:c r="L88" s="16"/>
      <x:c r="M88" s="17">
        <x:f t="shared" si="7"/>
        <x:v>0</x:v>
      </x:c>
      <x:c r="N88" s="18"/>
    </x:row>
    <x:row r="89">
      <x:c r="A89" s="13">
        <x:v>8.6999999999999993</x:v>
      </x:c>
      <x:c r="B89" s="14"/>
      <x:c r="C89" s="14" t="str">
        <x:v>Intercom / ajtó station</x:v>
      </x:c>
      <x:c r="D89" s="15" t="str">
        <x:v>db</x:v>
      </x:c>
      <x:c r="E89" s="16"/>
      <x:c r="F89" s="16"/>
      <x:c r="G89" s="16"/>
      <x:c r="H89" s="16"/>
      <x:c r="I89" s="16"/>
      <x:c r="J89" s="16"/>
      <x:c r="K89" s="16"/>
      <x:c r="L89" s="16"/>
      <x:c r="M89" s="17">
        <x:f t="shared" si="7"/>
        <x:v>0</x:v>
      </x:c>
      <x:c r="N89" s="18"/>
    </x:row>
    <x:row r="90">
      <x:c r="A90" s="13">
        <x:v>8.8000000000000007</x:v>
      </x:c>
      <x:c r="B90" s="14"/>
      <x:c r="C90" s="14" t="s">
        <x:v>26</x:v>
      </x:c>
      <x:c r="D90" s="15" t="str">
        <x:v>db</x:v>
      </x:c>
      <x:c r="E90" s="16"/>
      <x:c r="F90" s="16"/>
      <x:c r="G90" s="16"/>
      <x:c r="H90" s="16"/>
      <x:c r="I90" s="16"/>
      <x:c r="J90" s="16"/>
      <x:c r="K90" s="16"/>
      <x:c r="L90" s="16"/>
      <x:c r="M90" s="17">
        <x:f t="shared" si="7"/>
        <x:v>0</x:v>
      </x:c>
      <x:c r="N90" s="18"/>
    </x:row>
    <x:row r="91">
      <x:c r="A91" s="13">
        <x:v>8.9</x:v>
      </x:c>
      <x:c r="B91" s="14"/>
      <x:c r="C91" s="14" t="s">
        <x:v>27</x:v>
      </x:c>
      <x:c r="D91" s="15" t="str">
        <x:v>db</x:v>
      </x:c>
      <x:c r="E91" s="16"/>
      <x:c r="F91" s="16"/>
      <x:c r="G91" s="16"/>
      <x:c r="H91" s="16"/>
      <x:c r="I91" s="16"/>
      <x:c r="J91" s="16"/>
      <x:c r="K91" s="16"/>
      <x:c r="L91" s="16"/>
      <x:c r="M91" s="17">
        <x:f t="shared" si="7"/>
        <x:v>0</x:v>
      </x:c>
      <x:c r="N91" s="18"/>
    </x:row>
    <x:row r="92">
      <x:c r="A92" s="10"/>
      <x:c r="B92" s="75" t="str">
        <x:v>FÖLDELÉS ÉS VILLÁMVÉDELEM</x:v>
      </x:c>
      <x:c r="C92" s="75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2"/>
    </x:row>
    <x:row r="93">
      <x:c r="A93" s="13">
        <x:v>9.1</x:v>
      </x:c>
      <x:c r="B93" s="14"/>
      <x:c r="C93" s="14" t="s">
        <x:v>28</x:v>
      </x:c>
      <x:c r="D93" s="15" t="str">
        <x:v>db</x:v>
      </x:c>
      <x:c r="E93" s="16"/>
      <x:c r="F93" s="16"/>
      <x:c r="G93" s="16"/>
      <x:c r="H93" s="16"/>
      <x:c r="I93" s="16"/>
      <x:c r="J93" s="16"/>
      <x:c r="K93" s="16"/>
      <x:c r="L93" s="16"/>
      <x:c r="M93" s="17" t="n">
        <x:f t="shared" ref="M93:M99" si="8">SUM(E93:L93)</x:f>
        <x:v>0</x:v>
      </x:c>
      <x:c r="N93" s="18"/>
    </x:row>
    <x:row r="94">
      <x:c r="A94" s="13">
        <x:v>9.1999999999999993</x:v>
      </x:c>
      <x:c r="B94" s="14"/>
      <x:c r="C94" s="14" t="s">
        <x:v>29</x:v>
      </x:c>
      <x:c r="D94" s="15" t="str">
        <x:v>db</x:v>
      </x:c>
      <x:c r="E94" s="16"/>
      <x:c r="F94" s="16"/>
      <x:c r="G94" s="16"/>
      <x:c r="H94" s="16"/>
      <x:c r="I94" s="16"/>
      <x:c r="J94" s="16"/>
      <x:c r="K94" s="16"/>
      <x:c r="L94" s="16"/>
      <x:c r="M94" s="17">
        <x:f t="shared" si="8"/>
        <x:v>0</x:v>
      </x:c>
      <x:c r="N94" s="18"/>
    </x:row>
    <x:row r="95">
      <x:c r="A95" s="13">
        <x:v>9.3000000000000007</x:v>
      </x:c>
      <x:c r="B95" s="14"/>
      <x:c r="C95" s="14" t="str">
        <x:v>Earth conductor (bare réz)</x:v>
      </x:c>
      <x:c r="D95" s="15" t="str">
        <x:v>fm</x:v>
      </x:c>
      <x:c r="E95" s="16"/>
      <x:c r="F95" s="16"/>
      <x:c r="G95" s="16"/>
      <x:c r="H95" s="16"/>
      <x:c r="I95" s="16"/>
      <x:c r="J95" s="16"/>
      <x:c r="K95" s="16"/>
      <x:c r="L95" s="16"/>
      <x:c r="M95" s="17">
        <x:f t="shared" si="8"/>
        <x:v>0</x:v>
      </x:c>
      <x:c r="N95" s="18"/>
    </x:row>
    <x:row r="96">
      <x:c r="A96" s="13">
        <x:v>9.4</x:v>
      </x:c>
      <x:c r="B96" s="14"/>
      <x:c r="C96" s="14" t="str">
        <x:v>Earth akna / inspection chamber</x:v>
      </x:c>
      <x:c r="D96" s="15" t="str">
        <x:v>db</x:v>
      </x:c>
      <x:c r="E96" s="16"/>
      <x:c r="F96" s="16"/>
      <x:c r="G96" s="16"/>
      <x:c r="H96" s="16"/>
      <x:c r="I96" s="16"/>
      <x:c r="J96" s="16"/>
      <x:c r="K96" s="16"/>
      <x:c r="L96" s="16"/>
      <x:c r="M96" s="17">
        <x:f t="shared" si="8"/>
        <x:v>0</x:v>
      </x:c>
      <x:c r="N96" s="18"/>
    </x:row>
    <x:row r="97">
      <x:c r="A97" s="13">
        <x:v>9.5</x:v>
      </x:c>
      <x:c r="B97" s="14"/>
      <x:c r="C97" s="14" t="str">
        <x:v>villámvédelem air terminal</x:v>
      </x:c>
      <x:c r="D97" s="15" t="str">
        <x:v>db</x:v>
      </x:c>
      <x:c r="E97" s="16"/>
      <x:c r="F97" s="16"/>
      <x:c r="G97" s="16"/>
      <x:c r="H97" s="16"/>
      <x:c r="I97" s="16"/>
      <x:c r="J97" s="16"/>
      <x:c r="K97" s="16"/>
      <x:c r="L97" s="16"/>
      <x:c r="M97" s="17">
        <x:f t="shared" si="8"/>
        <x:v>0</x:v>
      </x:c>
      <x:c r="N97" s="18"/>
    </x:row>
    <x:row r="98">
      <x:c r="A98" s="13">
        <x:v>9.6</x:v>
      </x:c>
      <x:c r="B98" s="14"/>
      <x:c r="C98" s="14" t="s">
        <x:v>30</x:v>
      </x:c>
      <x:c r="D98" s="15" t="str">
        <x:v>fm</x:v>
      </x:c>
      <x:c r="E98" s="16"/>
      <x:c r="F98" s="16"/>
      <x:c r="G98" s="16"/>
      <x:c r="H98" s="16"/>
      <x:c r="I98" s="16"/>
      <x:c r="J98" s="16"/>
      <x:c r="K98" s="16"/>
      <x:c r="L98" s="16"/>
      <x:c r="M98" s="17">
        <x:f t="shared" si="8"/>
        <x:v>0</x:v>
      </x:c>
      <x:c r="N98" s="18"/>
    </x:row>
    <x:row r="99">
      <x:c r="A99" s="19">
        <x:v>9.6999999999999993</x:v>
      </x:c>
      <x:c r="B99" s="20"/>
      <x:c r="C99" s="20" t="s">
        <x:v>31</x:v>
      </x:c>
      <x:c r="D99" s="21" t="str">
        <x:v>db</x:v>
      </x:c>
      <x:c r="E99" s="22"/>
      <x:c r="F99" s="22"/>
      <x:c r="G99" s="22"/>
      <x:c r="H99" s="22"/>
      <x:c r="I99" s="22"/>
      <x:c r="J99" s="22"/>
      <x:c r="K99" s="22"/>
      <x:c r="L99" s="22"/>
      <x:c r="M99" s="23">
        <x:f t="shared" si="8"/>
        <x:v>0</x:v>
      </x:c>
      <x:c r="N99" s="24"/>
    </x:row>
  </x:sheetData>
  <x:mergeCells>
    <x:mergeCell ref="B62:C62"/>
    <x:mergeCell ref="B72:C72"/>
    <x:mergeCell ref="B82:C82"/>
    <x:mergeCell ref="B92:C92"/>
    <x:mergeCell ref="A1:N1"/>
    <x:mergeCell ref="B10:C10"/>
    <x:mergeCell ref="B19:C19"/>
    <x:mergeCell ref="B31:C31"/>
    <x:mergeCell ref="B41:C41"/>
    <x:mergeCell ref="B53:C5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2" ySplit="4" topLeftCell="C5" activePane="bottomRight" state="frozen"/>
    </x:sheetView>
  </x:sheetViews>
  <x:sheetFormatPr defaultRowHeight="14.25"/>
  <x:cols>
    <x:col min="1" max="1" width="8.86328125" customWidth="1"/>
    <x:col min="2" max="2" width="40.06640625" customWidth="1"/>
    <x:col min="3" max="3" width="16.33203125" customWidth="1"/>
    <x:col min="4" max="5" width="7.265625" customWidth="1"/>
    <x:col min="6" max="6" width="8.73046875" customWidth="1"/>
    <x:col min="7" max="7" width="8.59765625" customWidth="1"/>
    <x:col min="8" max="8" width="9" customWidth="1"/>
    <x:col min="9" max="9" width="8.33203125" customWidth="1"/>
    <x:col min="10" max="10" width="22.46484375" customWidth="1"/>
  </x:cols>
  <x:sheetData>
    <x:row r="1" ht="21">
      <x:c r="A1" s="71" t="str">
        <x:v>ELEKTROMOS ASSEMBLY-K - MENNYISÉGI KIMUTATÁS</x:v>
      </x:c>
      <x:c r="B1" s="67"/>
      <x:c r="C1" s="67"/>
      <x:c r="D1" s="67"/>
      <x:c r="E1" s="67"/>
      <x:c r="F1" s="67"/>
      <x:c r="G1" s="67"/>
      <x:c r="H1" s="67"/>
      <x:c r="I1" s="67"/>
      <x:c r="J1" s="67"/>
    </x:row>
    <x:row r="2">
      <x:c r="A2" s="72" t="str">
        <x:v>primer quantities link - the Electrical QTO sheet. Adjust egységárak és component fajlagosok - suit your project.</x:v>
      </x:c>
      <x:c r="B2" s="67"/>
      <x:c r="C2" s="67"/>
      <x:c r="D2" s="67"/>
      <x:c r="E2" s="67"/>
      <x:c r="F2" s="67"/>
      <x:c r="G2" s="67"/>
      <x:c r="H2" s="67"/>
      <x:c r="I2" s="67"/>
      <x:c r="J2" s="67"/>
    </x:row>
    <x:row r="4" ht="45" customHeight="1">
      <x:c r="A4" s="3" t="s">
        <x:v>32</x:v>
      </x:c>
      <x:c r="B4" s="3" t="str">
        <x:v>Komponens megnevezése</x:v>
      </x:c>
      <x:c r="C4" s="3" t="str">
        <x:v>Mértékegység</x:v>
      </x:c>
      <x:c r="D4" s="3" t="str">
        <x:v>Fajlagos /
primer mennyiség</x:v>
      </x:c>
      <x:c r="E4" s="3" t="str">
        <x:v>Primer
mennyiség</x:v>
      </x:c>
      <x:c r="F4" s="3" t="s">
        <x:v>33</x:v>
      </x:c>
      <x:c r="G4" s="3" t="str">
        <x:v>Egységár</x:v>
      </x:c>
      <x:c r="H4" s="3" t="str">
        <x:v>Összes költség</x:v>
      </x:c>
      <x:c r="I4" s="3" t="str">
        <x:v>Szakág / munkanem</x:v>
      </x:c>
      <x:c r="J4" s="3" t="str">
        <x:v>Megjegyzés</x:v>
      </x:c>
    </x:row>
    <x:row r="6">
      <x:c r="A6" s="73"/>
      <x:c r="B6" s="74"/>
      <x:c r="C6" s="25"/>
      <x:c r="D6" s="25"/>
      <x:c r="E6" s="25"/>
      <x:c r="F6" s="25"/>
      <x:c r="G6" s="26"/>
      <x:c r="H6" s="27"/>
      <x:c r="I6" s="25"/>
      <x:c r="J6" s="28" t="str">
        <x:v>Mennyiségfelvétel hivatkozás 4.1</x:v>
      </x:c>
    </x:row>
    <x:row r="7">
      <x:c r="A7" s="29" t="s">
        <x:v>34</x:v>
      </x:c>
      <x:c r="B7" s="30" t="str">
        <x:v>LED panel lámpatest 600x600 complete</x:v>
      </x:c>
      <x:c r="C7" s="31" t="str">
        <x:v>db</x:v>
      </x:c>
      <x:c r="D7" s="31">
        <x:v>1</x:v>
      </x:c>
      <x:c r="E7" s="31" t="n">
        <x:f>'Electrical QTO'!M42</x:f>
        <x:v>0</x:v>
      </x:c>
      <x:c r="F7" s="32" t="n">
        <x:f t="shared" ref="F7:F19" si="0">D7*E7</x:f>
        <x:v>0</x:v>
      </x:c>
      <x:c r="G7" s="33"/>
      <x:c r="H7" s="34" t="n">
        <x:f t="shared" ref="H7:H19" si="1">F7*G7</x:f>
        <x:v>0</x:v>
      </x:c>
      <x:c r="I7" s="31" t="str">
        <x:v>Elektromos</x:v>
      </x:c>
      <x:c r="J7" s="35" t="str">
        <x:v>csak anyagellátás</x:v>
      </x:c>
    </x:row>
    <x:row r="8">
      <x:c r="A8" s="36"/>
      <x:c r="B8" s="37" t="str">
        <x:v>rögzítő klipszek / rugós rögzítőkészlet</x:v>
      </x:c>
      <x:c r="C8" s="38" t="str">
        <x:v>klt.</x:v>
      </x:c>
      <x:c r="D8" s="38">
        <x:v>1</x:v>
      </x:c>
      <x:c r="E8" s="38" t="n">
        <x:f t="shared" ref="E8:E19" si="2">E$7</x:f>
        <x:v>0</x:v>
      </x:c>
      <x:c r="F8" s="39">
        <x:f t="shared" si="0"/>
        <x:v>0</x:v>
      </x:c>
      <x:c r="G8" s="40"/>
      <x:c r="H8" s="41">
        <x:f t="shared" si="1"/>
        <x:v>0</x:v>
      </x:c>
      <x:c r="I8" s="38" t="str">
        <x:v>Elektromos</x:v>
      </x:c>
      <x:c r="J8" s="42" t="str">
        <x:v>4x clips szerelvényenként</x:v>
      </x:c>
    </x:row>
    <x:row r="9">
      <x:c r="A9" s="36"/>
      <x:c r="B9" s="37" t="str">
        <x:v>álmennyezeti betétlap tartókeret (if req'd)</x:v>
      </x:c>
      <x:c r="C9" s="38" t="str">
        <x:v>db</x:v>
      </x:c>
      <x:c r="D9" s="38">
        <x:v>0.5</x:v>
      </x:c>
      <x:c r="E9" s="38">
        <x:f t="shared" si="2"/>
        <x:v>0</x:v>
      </x:c>
      <x:c r="F9" s="39">
        <x:f t="shared" si="0"/>
        <x:v>0</x:v>
      </x:c>
      <x:c r="G9" s="40"/>
      <x:c r="H9" s="41">
        <x:f t="shared" si="1"/>
        <x:v>0</x:v>
      </x:c>
      <x:c r="I9" s="38" t="str">
        <x:v>Elektromos</x:v>
      </x:c>
      <x:c r="J9" s="42" t="str">
        <x:v>feltételezés: 50% need tok / keret</x:v>
      </x:c>
    </x:row>
    <x:row r="10">
      <x:c r="A10" s="36"/>
      <x:c r="B10" s="37" t="str">
        <x:v>kötődoboz (kör keresztmetszetű/átfűzéses)</x:v>
      </x:c>
      <x:c r="C10" s="38" t="str">
        <x:v>db</x:v>
      </x:c>
      <x:c r="D10" s="38">
        <x:v>1</x:v>
      </x:c>
      <x:c r="E10" s="38">
        <x:f t="shared" si="2"/>
        <x:v>0</x:v>
      </x:c>
      <x:c r="F10" s="39">
        <x:f t="shared" si="0"/>
        <x:v>0</x:v>
      </x:c>
      <x:c r="G10" s="40"/>
      <x:c r="H10" s="41">
        <x:f t="shared" si="1"/>
        <x:v>0</x:v>
      </x:c>
      <x:c r="I10" s="38" t="str">
        <x:v>Elektromos</x:v>
      </x:c>
      <x:c r="J10" s="42" t="str">
        <x:v>JB szerelvényenként</x:v>
      </x:c>
    </x:row>
    <x:row r="11">
      <x:c r="A11" s="36"/>
      <x:c r="B11" s="37" t="str">
        <x:v>Flex kábel (1.0mm² 3C, 1.5m átlagos)</x:v>
      </x:c>
      <x:c r="C11" s="38" t="str">
        <x:v>fm</x:v>
      </x:c>
      <x:c r="D11" s="38">
        <x:v>1.5</x:v>
      </x:c>
      <x:c r="E11" s="38">
        <x:f t="shared" si="2"/>
        <x:v>0</x:v>
      </x:c>
      <x:c r="F11" s="39">
        <x:f t="shared" si="0"/>
        <x:v>0</x:v>
      </x:c>
      <x:c r="G11" s="40"/>
      <x:c r="H11" s="41">
        <x:f t="shared" si="1"/>
        <x:v>0</x:v>
      </x:c>
      <x:c r="I11" s="38" t="str">
        <x:v>Elektromos</x:v>
      </x:c>
      <x:c r="J11" s="42" t="str">
        <x:v>JB - szerelvény</x:v>
      </x:c>
    </x:row>
    <x:row r="12">
      <x:c r="A12" s="36"/>
      <x:c r="B12" s="37" t="str">
        <x:v>áramköri kábel (2.5mm² TPS kábel)</x:v>
      </x:c>
      <x:c r="C12" s="38" t="str">
        <x:v>fm</x:v>
      </x:c>
      <x:c r="D12" s="38">
        <x:v>8</x:v>
      </x:c>
      <x:c r="E12" s="38">
        <x:f t="shared" si="2"/>
        <x:v>0</x:v>
      </x:c>
      <x:c r="F12" s="39">
        <x:f t="shared" si="0"/>
        <x:v>0</x:v>
      </x:c>
      <x:c r="G12" s="40"/>
      <x:c r="H12" s="41">
        <x:f t="shared" si="1"/>
        <x:v>0</x:v>
      </x:c>
      <x:c r="I12" s="38" t="str">
        <x:v>Elektromos</x:v>
      </x:c>
      <x:c r="J12" s="42" t="str">
        <x:v>átlagos run szerelvényenként</x:v>
      </x:c>
    </x:row>
    <x:row r="13">
      <x:c r="A13" s="36"/>
      <x:c r="B13" s="37" t="str">
        <x:v>kábelrögzítők / rögzítőelemek</x:v>
      </x:c>
      <x:c r="C13" s="38" t="str">
        <x:v>db</x:v>
      </x:c>
      <x:c r="D13" s="38">
        <x:v>6</x:v>
      </x:c>
      <x:c r="E13" s="38">
        <x:f t="shared" si="2"/>
        <x:v>0</x:v>
      </x:c>
      <x:c r="F13" s="39">
        <x:f t="shared" si="0"/>
        <x:v>0</x:v>
      </x:c>
      <x:c r="G13" s="40"/>
      <x:c r="H13" s="41">
        <x:f t="shared" si="1"/>
        <x:v>0</x:v>
      </x:c>
      <x:c r="I13" s="38" t="str">
        <x:v>Elektromos</x:v>
      </x:c>
      <x:c r="J13" s="42"/>
    </x:row>
    <x:row r="14">
      <x:c r="A14" s="36"/>
      <x:c r="B14" s="37" t="str">
        <x:v>sorkapocs / Wago gyorscsatlakozó</x:v>
      </x:c>
      <x:c r="C14" s="38" t="str">
        <x:v>db</x:v>
      </x:c>
      <x:c r="D14" s="38">
        <x:v>2</x:v>
      </x:c>
      <x:c r="E14" s="38">
        <x:f t="shared" si="2"/>
        <x:v>0</x:v>
      </x:c>
      <x:c r="F14" s="39">
        <x:f t="shared" si="0"/>
        <x:v>0</x:v>
      </x:c>
      <x:c r="G14" s="40"/>
      <x:c r="H14" s="41">
        <x:f t="shared" si="1"/>
        <x:v>0</x:v>
      </x:c>
      <x:c r="I14" s="38" t="str">
        <x:v>Elektromos</x:v>
      </x:c>
      <x:c r="J14" s="42"/>
    </x:row>
    <x:row r="15">
      <x:c r="A15" s="36"/>
      <x:c r="B15" s="37" t="s">
        <x:v>35</x:v>
      </x:c>
      <x:c r="C15" s="38" t="str">
        <x:v>db</x:v>
      </x:c>
      <x:c r="D15" s="38">
        <x:v>0.1</x:v>
      </x:c>
      <x:c r="E15" s="38">
        <x:f t="shared" si="2"/>
        <x:v>0</x:v>
      </x:c>
      <x:c r="F15" s="39">
        <x:f t="shared" si="0"/>
        <x:v>0</x:v>
      </x:c>
      <x:c r="G15" s="40"/>
      <x:c r="H15" s="41">
        <x:f t="shared" si="1"/>
        <x:v>0</x:v>
      </x:c>
      <x:c r="I15" s="38" t="str">
        <x:v>Elektromos</x:v>
      </x:c>
      <x:c r="J15" s="42" t="str">
        <x:v>~10 idomok per MCB</x:v>
      </x:c>
    </x:row>
    <x:row r="16">
      <x:c r="A16" s="36"/>
      <x:c r="B16" s="37" t="str">
        <x:v>Labour - electrician szerelés</x:v>
      </x:c>
      <x:c r="C16" s="38" t="str">
        <x:v>óra</x:v>
      </x:c>
      <x:c r="D16" s="38">
        <x:v>0.5</x:v>
      </x:c>
      <x:c r="E16" s="38">
        <x:f t="shared" si="2"/>
        <x:v>0</x:v>
      </x:c>
      <x:c r="F16" s="39">
        <x:f t="shared" si="0"/>
        <x:v>0</x:v>
      </x:c>
      <x:c r="G16" s="40"/>
      <x:c r="H16" s="41">
        <x:f t="shared" si="1"/>
        <x:v>0</x:v>
      </x:c>
      <x:c r="I16" s="38" t="str">
        <x:v>Munkaerő</x:v>
      </x:c>
      <x:c r="J16" s="42" t="str">
        <x:v>szerelés &amp; wire</x:v>
      </x:c>
    </x:row>
    <x:row r="17">
      <x:c r="A17" s="36"/>
      <x:c r="B17" s="37" t="s">
        <x:v>36</x:v>
      </x:c>
      <x:c r="C17" s="38" t="str">
        <x:v>óra</x:v>
      </x:c>
      <x:c r="D17" s="38">
        <x:v>0.15</x:v>
      </x:c>
      <x:c r="E17" s="38">
        <x:f t="shared" si="2"/>
        <x:v>0</x:v>
      </x:c>
      <x:c r="F17" s="39">
        <x:f t="shared" si="0"/>
        <x:v>0</x:v>
      </x:c>
      <x:c r="G17" s="40"/>
      <x:c r="H17" s="41">
        <x:f t="shared" si="1"/>
        <x:v>0</x:v>
      </x:c>
      <x:c r="I17" s="38" t="str">
        <x:v>Munkaerő</x:v>
      </x:c>
      <x:c r="J17" s="42" t="s">
        <x:v>37</x:v>
      </x:c>
    </x:row>
    <x:row r="18">
      <x:c r="A18" s="36"/>
      <x:c r="B18" s="37" t="s">
        <x:v>38</x:v>
      </x:c>
      <x:c r="C18" s="38" t="str">
        <x:v>óra</x:v>
      </x:c>
      <x:c r="D18" s="38">
        <x:v>0.25</x:v>
      </x:c>
      <x:c r="E18" s="38">
        <x:f t="shared" si="2"/>
        <x:v>0</x:v>
      </x:c>
      <x:c r="F18" s="39">
        <x:f t="shared" si="0"/>
        <x:v>0</x:v>
      </x:c>
      <x:c r="G18" s="40"/>
      <x:c r="H18" s="41">
        <x:f t="shared" si="1"/>
        <x:v>0</x:v>
      </x:c>
      <x:c r="I18" s="38" t="str">
        <x:v>Munkaerő</x:v>
      </x:c>
      <x:c r="J18" s="42"/>
    </x:row>
    <x:row r="19">
      <x:c r="A19" s="36"/>
      <x:c r="B19" s="37" t="s">
        <x:v>39</x:v>
      </x:c>
      <x:c r="C19" s="38" t="str">
        <x:v>óra</x:v>
      </x:c>
      <x:c r="D19" s="38">
        <x:v>0.4</x:v>
      </x:c>
      <x:c r="E19" s="38">
        <x:f t="shared" si="2"/>
        <x:v>0</x:v>
      </x:c>
      <x:c r="F19" s="39">
        <x:f t="shared" si="0"/>
        <x:v>0</x:v>
      </x:c>
      <x:c r="G19" s="40"/>
      <x:c r="H19" s="41">
        <x:f t="shared" si="1"/>
        <x:v>0</x:v>
      </x:c>
      <x:c r="I19" s="38" t="str">
        <x:v>Gép</x:v>
      </x:c>
      <x:c r="J19" s="42" t="str">
        <x:v>mennyezet access</x:v>
      </x:c>
    </x:row>
    <x:row r="20">
      <x:c r="A20" s="43"/>
      <x:c r="B20" s="44" t="s">
        <x:v>40</x:v>
      </x:c>
      <x:c r="C20" s="45"/>
      <x:c r="D20" s="45"/>
      <x:c r="E20" s="45"/>
      <x:c r="F20" s="45"/>
      <x:c r="G20" s="46"/>
      <x:c r="H20" s="47" t="n">
        <x:f>SUM(H7:H19)</x:f>
        <x:v>0</x:v>
      </x:c>
      <x:c r="I20" s="45"/>
      <x:c r="J20" s="48"/>
    </x:row>
    <x:row r="21">
      <x:c r="A21" s="68"/>
      <x:c r="B21" s="69"/>
      <x:c r="C21" s="49"/>
      <x:c r="D21" s="49"/>
      <x:c r="E21" s="49"/>
      <x:c r="F21" s="49"/>
      <x:c r="G21" s="50"/>
      <x:c r="H21" s="51"/>
      <x:c r="I21" s="49"/>
      <x:c r="J21" s="52" t="s">
        <x:v>41</x:v>
      </x:c>
    </x:row>
    <x:row r="22">
      <x:c r="A22" s="29" t="s">
        <x:v>34</x:v>
      </x:c>
      <x:c r="B22" s="30" t="s">
        <x:v>42</x:v>
      </x:c>
      <x:c r="C22" s="31" t="str">
        <x:v>db</x:v>
      </x:c>
      <x:c r="D22" s="31">
        <x:v>1</x:v>
      </x:c>
      <x:c r="E22" s="31" t="n">
        <x:f>'Electrical QTO'!M43</x:f>
        <x:v>0</x:v>
      </x:c>
      <x:c r="F22" s="32" t="n">
        <x:f t="shared" ref="F22:F33" si="3">D22*E22</x:f>
        <x:v>0</x:v>
      </x:c>
      <x:c r="G22" s="33"/>
      <x:c r="H22" s="34" t="n">
        <x:f t="shared" ref="H22:H33" si="4">F22*G22</x:f>
        <x:v>0</x:v>
      </x:c>
      <x:c r="I22" s="31" t="str">
        <x:v>Elektromos</x:v>
      </x:c>
      <x:c r="J22" s="35" t="str">
        <x:v>csak anyagellátás</x:v>
      </x:c>
    </x:row>
    <x:row r="23">
      <x:c r="A23" s="36"/>
      <x:c r="B23" s="37" t="s">
        <x:v>43</x:v>
      </x:c>
      <x:c r="C23" s="38" t="str">
        <x:v>klt.</x:v>
      </x:c>
      <x:c r="D23" s="38">
        <x:v>1</x:v>
      </x:c>
      <x:c r="E23" s="38" t="n">
        <x:f t="shared" ref="E23:E33" si="5">E$22</x:f>
        <x:v>0</x:v>
      </x:c>
      <x:c r="F23" s="39">
        <x:f t="shared" si="3"/>
        <x:v>0</x:v>
      </x:c>
      <x:c r="G23" s="40"/>
      <x:c r="H23" s="41">
        <x:f t="shared" si="4"/>
        <x:v>0</x:v>
      </x:c>
      <x:c r="I23" s="38" t="str">
        <x:v>Elektromos</x:v>
      </x:c>
      <x:c r="J23" s="42"/>
    </x:row>
    <x:row r="24">
      <x:c r="A24" s="36"/>
      <x:c r="B24" s="37" t="s">
        <x:v>44</x:v>
      </x:c>
      <x:c r="C24" s="38" t="str">
        <x:v>db</x:v>
      </x:c>
      <x:c r="D24" s="38">
        <x:v>0.3</x:v>
      </x:c>
      <x:c r="E24" s="38">
        <x:f t="shared" si="5"/>
        <x:v>0</x:v>
      </x:c>
      <x:c r="F24" s="39">
        <x:f t="shared" si="3"/>
        <x:v>0</x:v>
      </x:c>
      <x:c r="G24" s="40"/>
      <x:c r="H24" s="41">
        <x:f t="shared" si="4"/>
        <x:v>0</x:v>
      </x:c>
      <x:c r="I24" s="38" t="str">
        <x:v>Elektromos</x:v>
      </x:c>
      <x:c r="J24" s="42" t="s">
        <x:v>45</x:v>
      </x:c>
    </x:row>
    <x:row r="25">
      <x:c r="A25" s="36"/>
      <x:c r="B25" s="37" t="str">
        <x:v>kötődoboz (átfűzéses)</x:v>
      </x:c>
      <x:c r="C25" s="38" t="str">
        <x:v>db</x:v>
      </x:c>
      <x:c r="D25" s="38">
        <x:v>1</x:v>
      </x:c>
      <x:c r="E25" s="38">
        <x:f t="shared" si="5"/>
        <x:v>0</x:v>
      </x:c>
      <x:c r="F25" s="39">
        <x:f t="shared" si="3"/>
        <x:v>0</x:v>
      </x:c>
      <x:c r="G25" s="40"/>
      <x:c r="H25" s="41">
        <x:f t="shared" si="4"/>
        <x:v>0</x:v>
      </x:c>
      <x:c r="I25" s="38" t="str">
        <x:v>Elektromos</x:v>
      </x:c>
      <x:c r="J25" s="42"/>
    </x:row>
    <x:row r="26">
      <x:c r="A26" s="36"/>
      <x:c r="B26" s="37" t="str">
        <x:v>Flex kábel (1.0mm² 3C, 1m átlagos)</x:v>
      </x:c>
      <x:c r="C26" s="38" t="str">
        <x:v>fm</x:v>
      </x:c>
      <x:c r="D26" s="38">
        <x:v>1</x:v>
      </x:c>
      <x:c r="E26" s="38">
        <x:f t="shared" si="5"/>
        <x:v>0</x:v>
      </x:c>
      <x:c r="F26" s="39">
        <x:f t="shared" si="3"/>
        <x:v>0</x:v>
      </x:c>
      <x:c r="G26" s="40"/>
      <x:c r="H26" s="41">
        <x:f t="shared" si="4"/>
        <x:v>0</x:v>
      </x:c>
      <x:c r="I26" s="38" t="str">
        <x:v>Elektromos</x:v>
      </x:c>
      <x:c r="J26" s="42"/>
    </x:row>
    <x:row r="27">
      <x:c r="A27" s="36"/>
      <x:c r="B27" s="37" t="str">
        <x:v>áramköri kábel (1.5mm² TPS kábel)</x:v>
      </x:c>
      <x:c r="C27" s="38" t="str">
        <x:v>fm</x:v>
      </x:c>
      <x:c r="D27" s="38">
        <x:v>6</x:v>
      </x:c>
      <x:c r="E27" s="38">
        <x:f t="shared" si="5"/>
        <x:v>0</x:v>
      </x:c>
      <x:c r="F27" s="39">
        <x:f t="shared" si="3"/>
        <x:v>0</x:v>
      </x:c>
      <x:c r="G27" s="40"/>
      <x:c r="H27" s="41">
        <x:f t="shared" si="4"/>
        <x:v>0</x:v>
      </x:c>
      <x:c r="I27" s="38" t="str">
        <x:v>Elektromos</x:v>
      </x:c>
      <x:c r="J27" s="42" t="str">
        <x:v>átlagos run szerelvényenként</x:v>
      </x:c>
    </x:row>
    <x:row r="28">
      <x:c r="A28" s="36"/>
      <x:c r="B28" s="37" t="str">
        <x:v>kábelrögzítők / rögzítőelemek</x:v>
      </x:c>
      <x:c r="C28" s="38" t="str">
        <x:v>db</x:v>
      </x:c>
      <x:c r="D28" s="38">
        <x:v>4</x:v>
      </x:c>
      <x:c r="E28" s="38">
        <x:f t="shared" si="5"/>
        <x:v>0</x:v>
      </x:c>
      <x:c r="F28" s="39">
        <x:f t="shared" si="3"/>
        <x:v>0</x:v>
      </x:c>
      <x:c r="G28" s="40"/>
      <x:c r="H28" s="41">
        <x:f t="shared" si="4"/>
        <x:v>0</x:v>
      </x:c>
      <x:c r="I28" s="38" t="str">
        <x:v>Elektromos</x:v>
      </x:c>
      <x:c r="J28" s="42"/>
    </x:row>
    <x:row r="29">
      <x:c r="A29" s="36"/>
      <x:c r="B29" s="37" t="str">
        <x:v>sorkapocs / Wago gyorscsatlakozó</x:v>
      </x:c>
      <x:c r="C29" s="38" t="str">
        <x:v>db</x:v>
      </x:c>
      <x:c r="D29" s="38">
        <x:v>2</x:v>
      </x:c>
      <x:c r="E29" s="38">
        <x:f t="shared" si="5"/>
        <x:v>0</x:v>
      </x:c>
      <x:c r="F29" s="39">
        <x:f t="shared" si="3"/>
        <x:v>0</x:v>
      </x:c>
      <x:c r="G29" s="40"/>
      <x:c r="H29" s="41">
        <x:f t="shared" si="4"/>
        <x:v>0</x:v>
      </x:c>
      <x:c r="I29" s="38" t="str">
        <x:v>Elektromos</x:v>
      </x:c>
      <x:c r="J29" s="42"/>
    </x:row>
    <x:row r="30">
      <x:c r="A30" s="36"/>
      <x:c r="B30" s="37" t="s">
        <x:v>35</x:v>
      </x:c>
      <x:c r="C30" s="38" t="str">
        <x:v>db</x:v>
      </x:c>
      <x:c r="D30" s="38">
        <x:v>0.1</x:v>
      </x:c>
      <x:c r="E30" s="38">
        <x:f t="shared" si="5"/>
        <x:v>0</x:v>
      </x:c>
      <x:c r="F30" s="39">
        <x:f t="shared" si="3"/>
        <x:v>0</x:v>
      </x:c>
      <x:c r="G30" s="40"/>
      <x:c r="H30" s="41">
        <x:f t="shared" si="4"/>
        <x:v>0</x:v>
      </x:c>
      <x:c r="I30" s="38" t="str">
        <x:v>Elektromos</x:v>
      </x:c>
      <x:c r="J30" s="42"/>
    </x:row>
    <x:row r="31">
      <x:c r="A31" s="36"/>
      <x:c r="B31" s="37" t="str">
        <x:v>Labour - electrician szerelés</x:v>
      </x:c>
      <x:c r="C31" s="38" t="str">
        <x:v>óra</x:v>
      </x:c>
      <x:c r="D31" s="38">
        <x:v>0.35</x:v>
      </x:c>
      <x:c r="E31" s="38">
        <x:f t="shared" si="5"/>
        <x:v>0</x:v>
      </x:c>
      <x:c r="F31" s="39">
        <x:f t="shared" si="3"/>
        <x:v>0</x:v>
      </x:c>
      <x:c r="G31" s="40"/>
      <x:c r="H31" s="41">
        <x:f t="shared" si="4"/>
        <x:v>0</x:v>
      </x:c>
      <x:c r="I31" s="38" t="str">
        <x:v>Munkaerő</x:v>
      </x:c>
      <x:c r="J31" s="42"/>
    </x:row>
    <x:row r="32">
      <x:c r="A32" s="36"/>
      <x:c r="B32" s="37" t="s">
        <x:v>36</x:v>
      </x:c>
      <x:c r="C32" s="38" t="str">
        <x:v>óra</x:v>
      </x:c>
      <x:c r="D32" s="38">
        <x:v>0.1</x:v>
      </x:c>
      <x:c r="E32" s="38">
        <x:f t="shared" si="5"/>
        <x:v>0</x:v>
      </x:c>
      <x:c r="F32" s="39">
        <x:f t="shared" si="3"/>
        <x:v>0</x:v>
      </x:c>
      <x:c r="G32" s="40"/>
      <x:c r="H32" s="41">
        <x:f t="shared" si="4"/>
        <x:v>0</x:v>
      </x:c>
      <x:c r="I32" s="38" t="str">
        <x:v>Munkaerő</x:v>
      </x:c>
      <x:c r="J32" s="42"/>
    </x:row>
    <x:row r="33">
      <x:c r="A33" s="36"/>
      <x:c r="B33" s="37" t="s">
        <x:v>39</x:v>
      </x:c>
      <x:c r="C33" s="38" t="str">
        <x:v>óra</x:v>
      </x:c>
      <x:c r="D33" s="38">
        <x:v>0.3</x:v>
      </x:c>
      <x:c r="E33" s="38">
        <x:f t="shared" si="5"/>
        <x:v>0</x:v>
      </x:c>
      <x:c r="F33" s="39">
        <x:f t="shared" si="3"/>
        <x:v>0</x:v>
      </x:c>
      <x:c r="G33" s="40"/>
      <x:c r="H33" s="41">
        <x:f t="shared" si="4"/>
        <x:v>0</x:v>
      </x:c>
      <x:c r="I33" s="38" t="str">
        <x:v>Gép</x:v>
      </x:c>
      <x:c r="J33" s="42"/>
    </x:row>
    <x:row r="34">
      <x:c r="A34" s="43"/>
      <x:c r="B34" s="44" t="s">
        <x:v>46</x:v>
      </x:c>
      <x:c r="C34" s="45"/>
      <x:c r="D34" s="45"/>
      <x:c r="E34" s="45"/>
      <x:c r="F34" s="45"/>
      <x:c r="G34" s="46"/>
      <x:c r="H34" s="47" t="n">
        <x:f>SUM(H22:H33)</x:f>
        <x:v>0</x:v>
      </x:c>
      <x:c r="I34" s="45"/>
      <x:c r="J34" s="48"/>
    </x:row>
    <x:row r="35">
      <x:c r="A35" s="68"/>
      <x:c r="B35" s="69"/>
      <x:c r="C35" s="49"/>
      <x:c r="D35" s="49"/>
      <x:c r="E35" s="49"/>
      <x:c r="F35" s="49"/>
      <x:c r="G35" s="50"/>
      <x:c r="H35" s="51"/>
      <x:c r="I35" s="49"/>
      <x:c r="J35" s="52" t="s">
        <x:v>47</x:v>
      </x:c>
    </x:row>
    <x:row r="36">
      <x:c r="A36" s="29" t="s">
        <x:v>34</x:v>
      </x:c>
      <x:c r="B36" s="30" t="str">
        <x:v>LED lécváz / linear luminaire</x:v>
      </x:c>
      <x:c r="C36" s="31" t="str">
        <x:v>db</x:v>
      </x:c>
      <x:c r="D36" s="31">
        <x:v>1</x:v>
      </x:c>
      <x:c r="E36" s="31" t="n">
        <x:f>'Electrical QTO'!M44</x:f>
        <x:v>0</x:v>
      </x:c>
      <x:c r="F36" s="32" t="n">
        <x:f t="shared" ref="F36:F47" si="6">D36*E36</x:f>
        <x:v>0</x:v>
      </x:c>
      <x:c r="G36" s="33"/>
      <x:c r="H36" s="34" t="n">
        <x:f t="shared" ref="H36:H47" si="7">F36*G36</x:f>
        <x:v>0</x:v>
      </x:c>
      <x:c r="I36" s="31" t="str">
        <x:v>Elektromos</x:v>
      </x:c>
      <x:c r="J36" s="35" t="str">
        <x:v>csak anyagellátás</x:v>
      </x:c>
    </x:row>
    <x:row r="37">
      <x:c r="A37" s="36"/>
      <x:c r="B37" s="37" t="str">
        <x:v>Surface mount clips / konzolok</x:v>
      </x:c>
      <x:c r="C37" s="38" t="str">
        <x:v>klt.</x:v>
      </x:c>
      <x:c r="D37" s="38">
        <x:v>1</x:v>
      </x:c>
      <x:c r="E37" s="38" t="n">
        <x:f t="shared" ref="E37:E47" si="8">E$36</x:f>
        <x:v>0</x:v>
      </x:c>
      <x:c r="F37" s="39">
        <x:f t="shared" si="6"/>
        <x:v>0</x:v>
      </x:c>
      <x:c r="G37" s="40"/>
      <x:c r="H37" s="41">
        <x:f t="shared" si="7"/>
        <x:v>0</x:v>
      </x:c>
      <x:c r="I37" s="38" t="str">
        <x:v>Elektromos</x:v>
      </x:c>
      <x:c r="J37" s="42" t="str">
        <x:v>2x szerelvényenként</x:v>
      </x:c>
    </x:row>
    <x:row r="38">
      <x:c r="A38" s="36"/>
      <x:c r="B38" s="37" t="str">
        <x:v>menetes szár suspension (if req'd)</x:v>
      </x:c>
      <x:c r="C38" s="38" t="str">
        <x:v>fm</x:v>
      </x:c>
      <x:c r="D38" s="38">
        <x:v>0.5</x:v>
      </x:c>
      <x:c r="E38" s="38">
        <x:f t="shared" si="8"/>
        <x:v>0</x:v>
      </x:c>
      <x:c r="F38" s="39">
        <x:f t="shared" si="6"/>
        <x:v>0</x:v>
      </x:c>
      <x:c r="G38" s="40"/>
      <x:c r="H38" s="41">
        <x:f t="shared" si="7"/>
        <x:v>0</x:v>
      </x:c>
      <x:c r="I38" s="38" t="str">
        <x:v>Elektromos</x:v>
      </x:c>
      <x:c r="J38" s="42" t="s">
        <x:v>48</x:v>
      </x:c>
    </x:row>
    <x:row r="39">
      <x:c r="A39" s="36"/>
      <x:c r="B39" s="37" t="str">
        <x:v>kötődoboz</x:v>
      </x:c>
      <x:c r="C39" s="38" t="str">
        <x:v>db</x:v>
      </x:c>
      <x:c r="D39" s="38">
        <x:v>1</x:v>
      </x:c>
      <x:c r="E39" s="38">
        <x:f t="shared" si="8"/>
        <x:v>0</x:v>
      </x:c>
      <x:c r="F39" s="39">
        <x:f t="shared" si="6"/>
        <x:v>0</x:v>
      </x:c>
      <x:c r="G39" s="40"/>
      <x:c r="H39" s="41">
        <x:f t="shared" si="7"/>
        <x:v>0</x:v>
      </x:c>
      <x:c r="I39" s="38" t="str">
        <x:v>Elektromos</x:v>
      </x:c>
      <x:c r="J39" s="42"/>
    </x:row>
    <x:row r="40">
      <x:c r="A40" s="36"/>
      <x:c r="B40" s="37" t="str">
        <x:v>Flex kábel (1.0mm² 3C)</x:v>
      </x:c>
      <x:c r="C40" s="38" t="str">
        <x:v>fm</x:v>
      </x:c>
      <x:c r="D40" s="38">
        <x:v>1.5</x:v>
      </x:c>
      <x:c r="E40" s="38">
        <x:f t="shared" si="8"/>
        <x:v>0</x:v>
      </x:c>
      <x:c r="F40" s="39">
        <x:f t="shared" si="6"/>
        <x:v>0</x:v>
      </x:c>
      <x:c r="G40" s="40"/>
      <x:c r="H40" s="41">
        <x:f t="shared" si="7"/>
        <x:v>0</x:v>
      </x:c>
      <x:c r="I40" s="38" t="str">
        <x:v>Elektromos</x:v>
      </x:c>
      <x:c r="J40" s="42"/>
    </x:row>
    <x:row r="41">
      <x:c r="A41" s="36"/>
      <x:c r="B41" s="37" t="str">
        <x:v>áramköri kábel (2.5mm² TPS kábel)</x:v>
      </x:c>
      <x:c r="C41" s="38" t="str">
        <x:v>fm</x:v>
      </x:c>
      <x:c r="D41" s="38">
        <x:v>8</x:v>
      </x:c>
      <x:c r="E41" s="38">
        <x:f t="shared" si="8"/>
        <x:v>0</x:v>
      </x:c>
      <x:c r="F41" s="39">
        <x:f t="shared" si="6"/>
        <x:v>0</x:v>
      </x:c>
      <x:c r="G41" s="40"/>
      <x:c r="H41" s="41">
        <x:f t="shared" si="7"/>
        <x:v>0</x:v>
      </x:c>
      <x:c r="I41" s="38" t="str">
        <x:v>Elektromos</x:v>
      </x:c>
      <x:c r="J41" s="42"/>
    </x:row>
    <x:row r="42">
      <x:c r="A42" s="36"/>
      <x:c r="B42" s="37" t="str">
        <x:v>kábelrögzítők / rögzítőelemek</x:v>
      </x:c>
      <x:c r="C42" s="38" t="str">
        <x:v>db</x:v>
      </x:c>
      <x:c r="D42" s="38">
        <x:v>6</x:v>
      </x:c>
      <x:c r="E42" s="38">
        <x:f t="shared" si="8"/>
        <x:v>0</x:v>
      </x:c>
      <x:c r="F42" s="39">
        <x:f t="shared" si="6"/>
        <x:v>0</x:v>
      </x:c>
      <x:c r="G42" s="40"/>
      <x:c r="H42" s="41">
        <x:f t="shared" si="7"/>
        <x:v>0</x:v>
      </x:c>
      <x:c r="I42" s="38" t="str">
        <x:v>Elektromos</x:v>
      </x:c>
      <x:c r="J42" s="42"/>
    </x:row>
    <x:row r="43">
      <x:c r="A43" s="36"/>
      <x:c r="B43" s="37" t="str">
        <x:v>Connector / Wago gyorscsatlakozó</x:v>
      </x:c>
      <x:c r="C43" s="38" t="str">
        <x:v>db</x:v>
      </x:c>
      <x:c r="D43" s="38">
        <x:v>2</x:v>
      </x:c>
      <x:c r="E43" s="38">
        <x:f t="shared" si="8"/>
        <x:v>0</x:v>
      </x:c>
      <x:c r="F43" s="39">
        <x:f t="shared" si="6"/>
        <x:v>0</x:v>
      </x:c>
      <x:c r="G43" s="40"/>
      <x:c r="H43" s="41">
        <x:f t="shared" si="7"/>
        <x:v>0</x:v>
      </x:c>
      <x:c r="I43" s="38" t="str">
        <x:v>Elektromos</x:v>
      </x:c>
      <x:c r="J43" s="42"/>
    </x:row>
    <x:row r="44">
      <x:c r="A44" s="36"/>
      <x:c r="B44" s="37" t="s">
        <x:v>35</x:v>
      </x:c>
      <x:c r="C44" s="38" t="str">
        <x:v>db</x:v>
      </x:c>
      <x:c r="D44" s="38">
        <x:v>0.1</x:v>
      </x:c>
      <x:c r="E44" s="38">
        <x:f t="shared" si="8"/>
        <x:v>0</x:v>
      </x:c>
      <x:c r="F44" s="39">
        <x:f t="shared" si="6"/>
        <x:v>0</x:v>
      </x:c>
      <x:c r="G44" s="40"/>
      <x:c r="H44" s="41">
        <x:f t="shared" si="7"/>
        <x:v>0</x:v>
      </x:c>
      <x:c r="I44" s="38" t="str">
        <x:v>Elektromos</x:v>
      </x:c>
      <x:c r="J44" s="42"/>
    </x:row>
    <x:row r="45">
      <x:c r="A45" s="36"/>
      <x:c r="B45" s="37" t="str">
        <x:v>Labour - electrician szerelés</x:v>
      </x:c>
      <x:c r="C45" s="38" t="str">
        <x:v>óra</x:v>
      </x:c>
      <x:c r="D45" s="38">
        <x:v>0.45</x:v>
      </x:c>
      <x:c r="E45" s="38">
        <x:f t="shared" si="8"/>
        <x:v>0</x:v>
      </x:c>
      <x:c r="F45" s="39">
        <x:f t="shared" si="6"/>
        <x:v>0</x:v>
      </x:c>
      <x:c r="G45" s="40"/>
      <x:c r="H45" s="41">
        <x:f t="shared" si="7"/>
        <x:v>0</x:v>
      </x:c>
      <x:c r="I45" s="38" t="str">
        <x:v>Munkaerő</x:v>
      </x:c>
      <x:c r="J45" s="42"/>
    </x:row>
    <x:row r="46">
      <x:c r="A46" s="36"/>
      <x:c r="B46" s="37" t="s">
        <x:v>36</x:v>
      </x:c>
      <x:c r="C46" s="38" t="str">
        <x:v>óra</x:v>
      </x:c>
      <x:c r="D46" s="38">
        <x:v>0.15</x:v>
      </x:c>
      <x:c r="E46" s="38">
        <x:f t="shared" si="8"/>
        <x:v>0</x:v>
      </x:c>
      <x:c r="F46" s="39">
        <x:f t="shared" si="6"/>
        <x:v>0</x:v>
      </x:c>
      <x:c r="G46" s="40"/>
      <x:c r="H46" s="41">
        <x:f t="shared" si="7"/>
        <x:v>0</x:v>
      </x:c>
      <x:c r="I46" s="38" t="str">
        <x:v>Munkaerő</x:v>
      </x:c>
      <x:c r="J46" s="42"/>
    </x:row>
    <x:row r="47">
      <x:c r="A47" s="36"/>
      <x:c r="B47" s="37" t="s">
        <x:v>39</x:v>
      </x:c>
      <x:c r="C47" s="38" t="str">
        <x:v>óra</x:v>
      </x:c>
      <x:c r="D47" s="38">
        <x:v>0.35</x:v>
      </x:c>
      <x:c r="E47" s="38">
        <x:f t="shared" si="8"/>
        <x:v>0</x:v>
      </x:c>
      <x:c r="F47" s="39">
        <x:f t="shared" si="6"/>
        <x:v>0</x:v>
      </x:c>
      <x:c r="G47" s="40"/>
      <x:c r="H47" s="41">
        <x:f t="shared" si="7"/>
        <x:v>0</x:v>
      </x:c>
      <x:c r="I47" s="38" t="str">
        <x:v>Gép</x:v>
      </x:c>
      <x:c r="J47" s="42"/>
    </x:row>
    <x:row r="48">
      <x:c r="A48" s="43"/>
      <x:c r="B48" s="44" t="s">
        <x:v>49</x:v>
      </x:c>
      <x:c r="C48" s="45"/>
      <x:c r="D48" s="45"/>
      <x:c r="E48" s="45"/>
      <x:c r="F48" s="45"/>
      <x:c r="G48" s="46"/>
      <x:c r="H48" s="47" t="n">
        <x:f>SUM(H36:H47)</x:f>
        <x:v>0</x:v>
      </x:c>
      <x:c r="I48" s="45"/>
      <x:c r="J48" s="48"/>
    </x:row>
    <x:row r="49">
      <x:c r="A49" s="68"/>
      <x:c r="B49" s="69"/>
      <x:c r="C49" s="49"/>
      <x:c r="D49" s="49"/>
      <x:c r="E49" s="49"/>
      <x:c r="F49" s="49"/>
      <x:c r="G49" s="50"/>
      <x:c r="H49" s="51"/>
      <x:c r="I49" s="49"/>
      <x:c r="J49" s="52" t="s">
        <x:v>50</x:v>
      </x:c>
    </x:row>
    <x:row r="50">
      <x:c r="A50" s="29" t="s">
        <x:v>34</x:v>
      </x:c>
      <x:c r="B50" s="30" t="str">
        <x:v>magas bay LED luminaire</x:v>
      </x:c>
      <x:c r="C50" s="31" t="str">
        <x:v>db</x:v>
      </x:c>
      <x:c r="D50" s="31">
        <x:v>1</x:v>
      </x:c>
      <x:c r="E50" s="31" t="n">
        <x:f>'Electrical QTO'!M45</x:f>
        <x:v>0</x:v>
      </x:c>
      <x:c r="F50" s="32" t="n">
        <x:f t="shared" ref="F50:F63" si="9">D50*E50</x:f>
        <x:v>0</x:v>
      </x:c>
      <x:c r="G50" s="33"/>
      <x:c r="H50" s="34" t="n">
        <x:f t="shared" ref="H50:H63" si="10">F50*G50</x:f>
        <x:v>0</x:v>
      </x:c>
      <x:c r="I50" s="31" t="str">
        <x:v>Elektromos</x:v>
      </x:c>
      <x:c r="J50" s="35" t="str">
        <x:v>csak anyagellátás</x:v>
      </x:c>
    </x:row>
    <x:row r="51">
      <x:c r="A51" s="36"/>
      <x:c r="B51" s="37" t="s">
        <x:v>51</x:v>
      </x:c>
      <x:c r="C51" s="38" t="str">
        <x:v>klt.</x:v>
      </x:c>
      <x:c r="D51" s="38">
        <x:v>1</x:v>
      </x:c>
      <x:c r="E51" s="38" t="n">
        <x:f t="shared" ref="E51:E63" si="11">E$50</x:f>
        <x:v>0</x:v>
      </x:c>
      <x:c r="F51" s="39">
        <x:f t="shared" si="9"/>
        <x:v>0</x:v>
      </x:c>
      <x:c r="G51" s="40"/>
      <x:c r="H51" s="41">
        <x:f t="shared" si="10"/>
        <x:v>0</x:v>
      </x:c>
      <x:c r="I51" s="38" t="str">
        <x:v>Elektromos</x:v>
      </x:c>
      <x:c r="J51" s="42"/>
    </x:row>
    <x:row r="52">
      <x:c r="A52" s="36"/>
      <x:c r="B52" s="37" t="str">
        <x:v>rögzítő konzol / mennyezet plate</x:v>
      </x:c>
      <x:c r="C52" s="38" t="str">
        <x:v>db</x:v>
      </x:c>
      <x:c r="D52" s="38">
        <x:v>1</x:v>
      </x:c>
      <x:c r="E52" s="38">
        <x:f t="shared" si="11"/>
        <x:v>0</x:v>
      </x:c>
      <x:c r="F52" s="39">
        <x:f t="shared" si="9"/>
        <x:v>0</x:v>
      </x:c>
      <x:c r="G52" s="40"/>
      <x:c r="H52" s="41">
        <x:f t="shared" si="10"/>
        <x:v>0</x:v>
      </x:c>
      <x:c r="I52" s="38" t="str">
        <x:v>Elektromos</x:v>
      </x:c>
      <x:c r="J52" s="42"/>
    </x:row>
    <x:row r="53">
      <x:c r="A53" s="36"/>
      <x:c r="B53" s="37" t="str">
        <x:v>Drop rod / menetes szár (1m átlagos)</x:v>
      </x:c>
      <x:c r="C53" s="38" t="str">
        <x:v>fm</x:v>
      </x:c>
      <x:c r="D53" s="38">
        <x:v>1</x:v>
      </x:c>
      <x:c r="E53" s="38">
        <x:f t="shared" si="11"/>
        <x:v>0</x:v>
      </x:c>
      <x:c r="F53" s="39">
        <x:f t="shared" si="9"/>
        <x:v>0</x:v>
      </x:c>
      <x:c r="G53" s="40"/>
      <x:c r="H53" s="41">
        <x:f t="shared" si="10"/>
        <x:v>0</x:v>
      </x:c>
      <x:c r="I53" s="38" t="str">
        <x:v>Elektromos</x:v>
      </x:c>
      <x:c r="J53" s="42"/>
    </x:row>
    <x:row r="54">
      <x:c r="A54" s="36"/>
      <x:c r="B54" s="37" t="str">
        <x:v>kötődoboz (IP rated)</x:v>
      </x:c>
      <x:c r="C54" s="38" t="str">
        <x:v>db</x:v>
      </x:c>
      <x:c r="D54" s="38">
        <x:v>1</x:v>
      </x:c>
      <x:c r="E54" s="38">
        <x:f t="shared" si="11"/>
        <x:v>0</x:v>
      </x:c>
      <x:c r="F54" s="39">
        <x:f t="shared" si="9"/>
        <x:v>0</x:v>
      </x:c>
      <x:c r="G54" s="40"/>
      <x:c r="H54" s="41">
        <x:f t="shared" si="10"/>
        <x:v>0</x:v>
      </x:c>
      <x:c r="I54" s="38" t="str">
        <x:v>Elektromos</x:v>
      </x:c>
      <x:c r="J54" s="42"/>
    </x:row>
    <x:row r="55">
      <x:c r="A55" s="36"/>
      <x:c r="B55" s="37" t="str">
        <x:v>Flex kábel (1.5mm² 3C, 2m átlagos)</x:v>
      </x:c>
      <x:c r="C55" s="38" t="str">
        <x:v>fm</x:v>
      </x:c>
      <x:c r="D55" s="38">
        <x:v>2</x:v>
      </x:c>
      <x:c r="E55" s="38">
        <x:f t="shared" si="11"/>
        <x:v>0</x:v>
      </x:c>
      <x:c r="F55" s="39">
        <x:f t="shared" si="9"/>
        <x:v>0</x:v>
      </x:c>
      <x:c r="G55" s="40"/>
      <x:c r="H55" s="41">
        <x:f t="shared" si="10"/>
        <x:v>0</x:v>
      </x:c>
      <x:c r="I55" s="38" t="str">
        <x:v>Elektromos</x:v>
      </x:c>
      <x:c r="J55" s="42"/>
    </x:row>
    <x:row r="56">
      <x:c r="A56" s="36"/>
      <x:c r="B56" s="37" t="str">
        <x:v>áramköri kábel (2.5mm² TPS kábel)</x:v>
      </x:c>
      <x:c r="C56" s="38" t="str">
        <x:v>fm</x:v>
      </x:c>
      <x:c r="D56" s="38">
        <x:v>15</x:v>
      </x:c>
      <x:c r="E56" s="38">
        <x:f t="shared" si="11"/>
        <x:v>0</x:v>
      </x:c>
      <x:c r="F56" s="39">
        <x:f t="shared" si="9"/>
        <x:v>0</x:v>
      </x:c>
      <x:c r="G56" s="40"/>
      <x:c r="H56" s="41">
        <x:f t="shared" si="10"/>
        <x:v>0</x:v>
      </x:c>
      <x:c r="I56" s="38" t="str">
        <x:v>Elektromos</x:v>
      </x:c>
      <x:c r="J56" s="42" t="s">
        <x:v>52</x:v>
      </x:c>
    </x:row>
    <x:row r="57">
      <x:c r="A57" s="36"/>
      <x:c r="B57" s="37" t="str">
        <x:v>kábel rögzítőelemek / P-clips</x:v>
      </x:c>
      <x:c r="C57" s="38" t="str">
        <x:v>db</x:v>
      </x:c>
      <x:c r="D57" s="38">
        <x:v>10</x:v>
      </x:c>
      <x:c r="E57" s="38">
        <x:f t="shared" si="11"/>
        <x:v>0</x:v>
      </x:c>
      <x:c r="F57" s="39">
        <x:f t="shared" si="9"/>
        <x:v>0</x:v>
      </x:c>
      <x:c r="G57" s="40"/>
      <x:c r="H57" s="41">
        <x:f t="shared" si="10"/>
        <x:v>0</x:v>
      </x:c>
      <x:c r="I57" s="38" t="str">
        <x:v>Elektromos</x:v>
      </x:c>
      <x:c r="J57" s="42"/>
    </x:row>
    <x:row r="58">
      <x:c r="A58" s="36"/>
      <x:c r="B58" s="37" t="s">
        <x:v>35</x:v>
      </x:c>
      <x:c r="C58" s="38" t="str">
        <x:v>db</x:v>
      </x:c>
      <x:c r="D58" s="38">
        <x:v>0.15</x:v>
      </x:c>
      <x:c r="E58" s="38">
        <x:f t="shared" si="11"/>
        <x:v>0</x:v>
      </x:c>
      <x:c r="F58" s="39">
        <x:f t="shared" si="9"/>
        <x:v>0</x:v>
      </x:c>
      <x:c r="G58" s="40"/>
      <x:c r="H58" s="41">
        <x:f t="shared" si="10"/>
        <x:v>0</x:v>
      </x:c>
      <x:c r="I58" s="38" t="str">
        <x:v>Elektromos</x:v>
      </x:c>
      <x:c r="J58" s="42" t="s">
        <x:v>53</x:v>
      </x:c>
    </x:row>
    <x:row r="59">
      <x:c r="A59" s="36"/>
      <x:c r="B59" s="37" t="str">
        <x:v>Labour - electrician szerelés</x:v>
      </x:c>
      <x:c r="C59" s="38" t="str">
        <x:v>óra</x:v>
      </x:c>
      <x:c r="D59" s="38">
        <x:v>1</x:v>
      </x:c>
      <x:c r="E59" s="38">
        <x:f t="shared" si="11"/>
        <x:v>0</x:v>
      </x:c>
      <x:c r="F59" s="39">
        <x:f t="shared" si="9"/>
        <x:v>0</x:v>
      </x:c>
      <x:c r="G59" s="40"/>
      <x:c r="H59" s="41">
        <x:f t="shared" si="10"/>
        <x:v>0</x:v>
      </x:c>
      <x:c r="I59" s="38" t="str">
        <x:v>Munkaerő</x:v>
      </x:c>
      <x:c r="J59" s="42" t="str">
        <x:v>magasság premium</x:v>
      </x:c>
    </x:row>
    <x:row r="60">
      <x:c r="A60" s="36"/>
      <x:c r="B60" s="37" t="s">
        <x:v>36</x:v>
      </x:c>
      <x:c r="C60" s="38" t="str">
        <x:v>óra</x:v>
      </x:c>
      <x:c r="D60" s="38">
        <x:v>0.2</x:v>
      </x:c>
      <x:c r="E60" s="38">
        <x:f t="shared" si="11"/>
        <x:v>0</x:v>
      </x:c>
      <x:c r="F60" s="39">
        <x:f t="shared" si="9"/>
        <x:v>0</x:v>
      </x:c>
      <x:c r="G60" s="40"/>
      <x:c r="H60" s="41">
        <x:f t="shared" si="10"/>
        <x:v>0</x:v>
      </x:c>
      <x:c r="I60" s="38" t="str">
        <x:v>Munkaerő</x:v>
      </x:c>
      <x:c r="J60" s="42"/>
    </x:row>
    <x:row r="61">
      <x:c r="A61" s="36"/>
      <x:c r="B61" s="37" t="str">
        <x:v>Labour - rigger (working at magasság)</x:v>
      </x:c>
      <x:c r="C61" s="38" t="str">
        <x:v>óra</x:v>
      </x:c>
      <x:c r="D61" s="38">
        <x:v>0.5</x:v>
      </x:c>
      <x:c r="E61" s="38">
        <x:f t="shared" si="11"/>
        <x:v>0</x:v>
      </x:c>
      <x:c r="F61" s="39">
        <x:f t="shared" si="9"/>
        <x:v>0</x:v>
      </x:c>
      <x:c r="G61" s="40"/>
      <x:c r="H61" s="41">
        <x:f t="shared" si="10"/>
        <x:v>0</x:v>
      </x:c>
      <x:c r="I61" s="38" t="str">
        <x:v>Munkaerő</x:v>
      </x:c>
      <x:c r="J61" s="42"/>
    </x:row>
    <x:row r="62">
      <x:c r="A62" s="36"/>
      <x:c r="B62" s="37" t="s">
        <x:v>54</x:v>
      </x:c>
      <x:c r="C62" s="38" t="str">
        <x:v>óra</x:v>
      </x:c>
      <x:c r="D62" s="38">
        <x:v>1</x:v>
      </x:c>
      <x:c r="E62" s="38">
        <x:f t="shared" si="11"/>
        <x:v>0</x:v>
      </x:c>
      <x:c r="F62" s="39">
        <x:f t="shared" si="9"/>
        <x:v>0</x:v>
      </x:c>
      <x:c r="G62" s="40"/>
      <x:c r="H62" s="41">
        <x:f t="shared" si="10"/>
        <x:v>0</x:v>
      </x:c>
      <x:c r="I62" s="38" t="str">
        <x:v>Gép</x:v>
      </x:c>
      <x:c r="J62" s="42" t="str">
        <x:v>magas-level access</x:v>
      </x:c>
    </x:row>
    <x:row r="63">
      <x:c r="A63" s="36"/>
      <x:c r="B63" s="37" t="s">
        <x:v>55</x:v>
      </x:c>
      <x:c r="C63" s="38" t="str">
        <x:v>db</x:v>
      </x:c>
      <x:c r="D63" s="38">
        <x:v>1</x:v>
      </x:c>
      <x:c r="E63" s="38">
        <x:f t="shared" si="11"/>
        <x:v>0</x:v>
      </x:c>
      <x:c r="F63" s="39">
        <x:f t="shared" si="9"/>
        <x:v>0</x:v>
      </x:c>
      <x:c r="G63" s="40"/>
      <x:c r="H63" s="41">
        <x:f t="shared" si="10"/>
        <x:v>0</x:v>
      </x:c>
      <x:c r="I63" s="38" t="str">
        <x:v>Gép</x:v>
      </x:c>
      <x:c r="J63" s="42"/>
    </x:row>
    <x:row r="64">
      <x:c r="A64" s="43"/>
      <x:c r="B64" s="44" t="s">
        <x:v>56</x:v>
      </x:c>
      <x:c r="C64" s="45"/>
      <x:c r="D64" s="45"/>
      <x:c r="E64" s="45"/>
      <x:c r="F64" s="45"/>
      <x:c r="G64" s="46"/>
      <x:c r="H64" s="47" t="n">
        <x:f>SUM(H50:H63)</x:f>
        <x:v>0</x:v>
      </x:c>
      <x:c r="I64" s="45"/>
      <x:c r="J64" s="48"/>
    </x:row>
    <x:row r="65">
      <x:c r="A65" s="68"/>
      <x:c r="B65" s="69"/>
      <x:c r="C65" s="49"/>
      <x:c r="D65" s="49"/>
      <x:c r="E65" s="49"/>
      <x:c r="F65" s="49"/>
      <x:c r="G65" s="50"/>
      <x:c r="H65" s="51"/>
      <x:c r="I65" s="49"/>
      <x:c r="J65" s="52" t="s">
        <x:v>57</x:v>
      </x:c>
    </x:row>
    <x:row r="66">
      <x:c r="A66" s="29" t="s">
        <x:v>34</x:v>
      </x:c>
      <x:c r="B66" s="30" t="s">
        <x:v>58</x:v>
      </x:c>
      <x:c r="C66" s="31" t="str">
        <x:v>db</x:v>
      </x:c>
      <x:c r="D66" s="31">
        <x:v>1</x:v>
      </x:c>
      <x:c r="E66" s="31" t="n">
        <x:f>'Electrical QTO'!M48</x:f>
        <x:v>0</x:v>
      </x:c>
      <x:c r="F66" s="32" t="n">
        <x:f t="shared" ref="F66:F76" si="12">D66*E66</x:f>
        <x:v>0</x:v>
      </x:c>
      <x:c r="G66" s="33"/>
      <x:c r="H66" s="34" t="n">
        <x:f t="shared" ref="H66:H76" si="13">F66*G66</x:f>
        <x:v>0</x:v>
      </x:c>
      <x:c r="I66" s="31" t="str">
        <x:v>Elektromos</x:v>
      </x:c>
      <x:c r="J66" s="35"/>
    </x:row>
    <x:row r="67">
      <x:c r="A67" s="36"/>
      <x:c r="B67" s="37" t="str">
        <x:v>rögzítő konzol / base plate</x:v>
      </x:c>
      <x:c r="C67" s="38" t="str">
        <x:v>db</x:v>
      </x:c>
      <x:c r="D67" s="38">
        <x:v>1</x:v>
      </x:c>
      <x:c r="E67" s="38" t="n">
        <x:f t="shared" ref="E67:E76" si="14">E$66</x:f>
        <x:v>0</x:v>
      </x:c>
      <x:c r="F67" s="39">
        <x:f t="shared" si="12"/>
        <x:v>0</x:v>
      </x:c>
      <x:c r="G67" s="40"/>
      <x:c r="H67" s="41">
        <x:f t="shared" si="13"/>
        <x:v>0</x:v>
      </x:c>
      <x:c r="I67" s="38" t="str">
        <x:v>Elektromos</x:v>
      </x:c>
      <x:c r="J67" s="42"/>
    </x:row>
    <x:row r="68">
      <x:c r="A68" s="36"/>
      <x:c r="B68" s="37" t="str">
        <x:v>kötődoboz</x:v>
      </x:c>
      <x:c r="C68" s="38" t="str">
        <x:v>db</x:v>
      </x:c>
      <x:c r="D68" s="38">
        <x:v>1</x:v>
      </x:c>
      <x:c r="E68" s="38">
        <x:f t="shared" si="14"/>
        <x:v>0</x:v>
      </x:c>
      <x:c r="F68" s="39">
        <x:f t="shared" si="12"/>
        <x:v>0</x:v>
      </x:c>
      <x:c r="G68" s="40"/>
      <x:c r="H68" s="41">
        <x:f t="shared" si="13"/>
        <x:v>0</x:v>
      </x:c>
      <x:c r="I68" s="38" t="str">
        <x:v>Elektromos</x:v>
      </x:c>
      <x:c r="J68" s="42"/>
    </x:row>
    <x:row r="69">
      <x:c r="A69" s="36"/>
      <x:c r="B69" s="37" t="str">
        <x:v>Flex kábel (1.0mm² 3C)</x:v>
      </x:c>
      <x:c r="C69" s="38" t="str">
        <x:v>fm</x:v>
      </x:c>
      <x:c r="D69" s="38">
        <x:v>1</x:v>
      </x:c>
      <x:c r="E69" s="38">
        <x:f t="shared" si="14"/>
        <x:v>0</x:v>
      </x:c>
      <x:c r="F69" s="39">
        <x:f t="shared" si="12"/>
        <x:v>0</x:v>
      </x:c>
      <x:c r="G69" s="40"/>
      <x:c r="H69" s="41">
        <x:f t="shared" si="13"/>
        <x:v>0</x:v>
      </x:c>
      <x:c r="I69" s="38" t="str">
        <x:v>Elektromos</x:v>
      </x:c>
      <x:c r="J69" s="42"/>
    </x:row>
    <x:row r="70">
      <x:c r="A70" s="36"/>
      <x:c r="B70" s="37" t="str">
        <x:v>Fire-rated áramköri kábel (1.5mm²)</x:v>
      </x:c>
      <x:c r="C70" s="38" t="str">
        <x:v>fm</x:v>
      </x:c>
      <x:c r="D70" s="38">
        <x:v>12</x:v>
      </x:c>
      <x:c r="E70" s="38">
        <x:f t="shared" si="14"/>
        <x:v>0</x:v>
      </x:c>
      <x:c r="F70" s="39">
        <x:f t="shared" si="12"/>
        <x:v>0</x:v>
      </x:c>
      <x:c r="G70" s="40"/>
      <x:c r="H70" s="41">
        <x:f t="shared" si="13"/>
        <x:v>0</x:v>
      </x:c>
      <x:c r="I70" s="38" t="str">
        <x:v>Elektromos</x:v>
      </x:c>
      <x:c r="J70" s="42" t="str">
        <x:v>Fire-rated kábel</x:v>
      </x:c>
    </x:row>
    <x:row r="71">
      <x:c r="A71" s="36"/>
      <x:c r="B71" s="37" t="str">
        <x:v>Fire-rated kábelrögzítők</x:v>
      </x:c>
      <x:c r="C71" s="38" t="str">
        <x:v>db</x:v>
      </x:c>
      <x:c r="D71" s="38">
        <x:v>8</x:v>
      </x:c>
      <x:c r="E71" s="38">
        <x:f t="shared" si="14"/>
        <x:v>0</x:v>
      </x:c>
      <x:c r="F71" s="39">
        <x:f t="shared" si="12"/>
        <x:v>0</x:v>
      </x:c>
      <x:c r="G71" s="40"/>
      <x:c r="H71" s="41">
        <x:f t="shared" si="13"/>
        <x:v>0</x:v>
      </x:c>
      <x:c r="I71" s="38" t="str">
        <x:v>Elektromos</x:v>
      </x:c>
      <x:c r="J71" s="42" t="s">
        <x:v>59</x:v>
      </x:c>
    </x:row>
    <x:row r="72">
      <x:c r="A72" s="36"/>
      <x:c r="B72" s="37" t="str">
        <x:v>Connector / Wago gyorscsatlakozó</x:v>
      </x:c>
      <x:c r="C72" s="38" t="str">
        <x:v>db</x:v>
      </x:c>
      <x:c r="D72" s="38">
        <x:v>2</x:v>
      </x:c>
      <x:c r="E72" s="38">
        <x:f t="shared" si="14"/>
        <x:v>0</x:v>
      </x:c>
      <x:c r="F72" s="39">
        <x:f t="shared" si="12"/>
        <x:v>0</x:v>
      </x:c>
      <x:c r="G72" s="40"/>
      <x:c r="H72" s="41">
        <x:f t="shared" si="13"/>
        <x:v>0</x:v>
      </x:c>
      <x:c r="I72" s="38" t="str">
        <x:v>Elektromos</x:v>
      </x:c>
      <x:c r="J72" s="42"/>
    </x:row>
    <x:row r="73">
      <x:c r="A73" s="36"/>
      <x:c r="B73" s="37" t="s">
        <x:v>35</x:v>
      </x:c>
      <x:c r="C73" s="38" t="str">
        <x:v>db</x:v>
      </x:c>
      <x:c r="D73" s="38">
        <x:v>0.1</x:v>
      </x:c>
      <x:c r="E73" s="38">
        <x:f t="shared" si="14"/>
        <x:v>0</x:v>
      </x:c>
      <x:c r="F73" s="39">
        <x:f t="shared" si="12"/>
        <x:v>0</x:v>
      </x:c>
      <x:c r="G73" s="40"/>
      <x:c r="H73" s="41">
        <x:f t="shared" si="13"/>
        <x:v>0</x:v>
      </x:c>
      <x:c r="I73" s="38" t="str">
        <x:v>Elektromos</x:v>
      </x:c>
      <x:c r="J73" s="42" t="s">
        <x:v>60</x:v>
      </x:c>
    </x:row>
    <x:row r="74">
      <x:c r="A74" s="36"/>
      <x:c r="B74" s="37" t="str">
        <x:v>Labour - electrician szerelés</x:v>
      </x:c>
      <x:c r="C74" s="38" t="str">
        <x:v>óra</x:v>
      </x:c>
      <x:c r="D74" s="38">
        <x:v>0.6</x:v>
      </x:c>
      <x:c r="E74" s="38">
        <x:f t="shared" si="14"/>
        <x:v>0</x:v>
      </x:c>
      <x:c r="F74" s="39">
        <x:f t="shared" si="12"/>
        <x:v>0</x:v>
      </x:c>
      <x:c r="G74" s="40"/>
      <x:c r="H74" s="41">
        <x:f t="shared" si="13"/>
        <x:v>0</x:v>
      </x:c>
      <x:c r="I74" s="38" t="str">
        <x:v>Munkaerő</x:v>
      </x:c>
      <x:c r="J74" s="42" t="s">
        <x:v>61</x:v>
      </x:c>
    </x:row>
    <x:row r="75">
      <x:c r="A75" s="36"/>
      <x:c r="B75" s="37" t="s">
        <x:v>36</x:v>
      </x:c>
      <x:c r="C75" s="38" t="str">
        <x:v>óra</x:v>
      </x:c>
      <x:c r="D75" s="38">
        <x:v>0.25</x:v>
      </x:c>
      <x:c r="E75" s="38">
        <x:f t="shared" si="14"/>
        <x:v>0</x:v>
      </x:c>
      <x:c r="F75" s="39">
        <x:f t="shared" si="12"/>
        <x:v>0</x:v>
      </x:c>
      <x:c r="G75" s="40"/>
      <x:c r="H75" s="41">
        <x:f t="shared" si="13"/>
        <x:v>0</x:v>
      </x:c>
      <x:c r="I75" s="38" t="str">
        <x:v>Munkaerő</x:v>
      </x:c>
      <x:c r="J75" s="42" t="s">
        <x:v>62</x:v>
      </x:c>
    </x:row>
    <x:row r="76">
      <x:c r="A76" s="36"/>
      <x:c r="B76" s="37" t="s">
        <x:v>39</x:v>
      </x:c>
      <x:c r="C76" s="38" t="str">
        <x:v>óra</x:v>
      </x:c>
      <x:c r="D76" s="38">
        <x:v>0.4</x:v>
      </x:c>
      <x:c r="E76" s="38">
        <x:f t="shared" si="14"/>
        <x:v>0</x:v>
      </x:c>
      <x:c r="F76" s="39">
        <x:f t="shared" si="12"/>
        <x:v>0</x:v>
      </x:c>
      <x:c r="G76" s="40"/>
      <x:c r="H76" s="41">
        <x:f t="shared" si="13"/>
        <x:v>0</x:v>
      </x:c>
      <x:c r="I76" s="38" t="str">
        <x:v>Gép</x:v>
      </x:c>
      <x:c r="J76" s="42"/>
    </x:row>
    <x:row r="77">
      <x:c r="A77" s="43"/>
      <x:c r="B77" s="44" t="s">
        <x:v>63</x:v>
      </x:c>
      <x:c r="C77" s="45"/>
      <x:c r="D77" s="45"/>
      <x:c r="E77" s="45"/>
      <x:c r="F77" s="45"/>
      <x:c r="G77" s="46"/>
      <x:c r="H77" s="47" t="n">
        <x:f>SUM(H66:H76)</x:f>
        <x:v>0</x:v>
      </x:c>
      <x:c r="I77" s="45"/>
      <x:c r="J77" s="48"/>
    </x:row>
    <x:row r="78">
      <x:c r="A78" s="68"/>
      <x:c r="B78" s="69"/>
      <x:c r="C78" s="49"/>
      <x:c r="D78" s="49"/>
      <x:c r="E78" s="49"/>
      <x:c r="F78" s="49"/>
      <x:c r="G78" s="50"/>
      <x:c r="H78" s="51"/>
      <x:c r="I78" s="49"/>
      <x:c r="J78" s="52" t="s">
        <x:v>64</x:v>
      </x:c>
    </x:row>
    <x:row r="79">
      <x:c r="A79" s="29" t="s">
        <x:v>34</x:v>
      </x:c>
      <x:c r="B79" s="30" t="s">
        <x:v>6</x:v>
      </x:c>
      <x:c r="C79" s="31" t="str">
        <x:v>db</x:v>
      </x:c>
      <x:c r="D79" s="31">
        <x:v>1</x:v>
      </x:c>
      <x:c r="E79" s="31" t="n">
        <x:f>'Electrical QTO'!M50</x:f>
        <x:v>0</x:v>
      </x:c>
      <x:c r="F79" s="32" t="n">
        <x:f t="shared" ref="F79:F87" si="15">D79*E79</x:f>
        <x:v>0</x:v>
      </x:c>
      <x:c r="G79" s="33"/>
      <x:c r="H79" s="34" t="n">
        <x:f t="shared" ref="H79:H87" si="16">F79*G79</x:f>
        <x:v>0</x:v>
      </x:c>
      <x:c r="I79" s="31" t="str">
        <x:v>Elektromos</x:v>
      </x:c>
      <x:c r="J79" s="35"/>
    </x:row>
    <x:row r="80">
      <x:c r="A80" s="36"/>
      <x:c r="B80" s="37" t="str">
        <x:v>rögzítő konzol / blade mount kit</x:v>
      </x:c>
      <x:c r="C80" s="38" t="str">
        <x:v>db</x:v>
      </x:c>
      <x:c r="D80" s="38">
        <x:v>1</x:v>
      </x:c>
      <x:c r="E80" s="38" t="n">
        <x:f t="shared" ref="E80:E87" si="17">E$79</x:f>
        <x:v>0</x:v>
      </x:c>
      <x:c r="F80" s="39">
        <x:f t="shared" si="15"/>
        <x:v>0</x:v>
      </x:c>
      <x:c r="G80" s="40"/>
      <x:c r="H80" s="41">
        <x:f t="shared" si="16"/>
        <x:v>0</x:v>
      </x:c>
      <x:c r="I80" s="38" t="str">
        <x:v>Elektromos</x:v>
      </x:c>
      <x:c r="J80" s="42"/>
    </x:row>
    <x:row r="81">
      <x:c r="A81" s="36"/>
      <x:c r="B81" s="37" t="str">
        <x:v>kötődoboz</x:v>
      </x:c>
      <x:c r="C81" s="38" t="str">
        <x:v>db</x:v>
      </x:c>
      <x:c r="D81" s="38">
        <x:v>1</x:v>
      </x:c>
      <x:c r="E81" s="38">
        <x:f t="shared" si="17"/>
        <x:v>0</x:v>
      </x:c>
      <x:c r="F81" s="39">
        <x:f t="shared" si="15"/>
        <x:v>0</x:v>
      </x:c>
      <x:c r="G81" s="40"/>
      <x:c r="H81" s="41">
        <x:f t="shared" si="16"/>
        <x:v>0</x:v>
      </x:c>
      <x:c r="I81" s="38" t="str">
        <x:v>Elektromos</x:v>
      </x:c>
      <x:c r="J81" s="42"/>
    </x:row>
    <x:row r="82">
      <x:c r="A82" s="36"/>
      <x:c r="B82" s="37" t="str">
        <x:v>Fire-rated áramköri kábel (1.5mm²)</x:v>
      </x:c>
      <x:c r="C82" s="38" t="str">
        <x:v>fm</x:v>
      </x:c>
      <x:c r="D82" s="38">
        <x:v>10</x:v>
      </x:c>
      <x:c r="E82" s="38">
        <x:f t="shared" si="17"/>
        <x:v>0</x:v>
      </x:c>
      <x:c r="F82" s="39">
        <x:f t="shared" si="15"/>
        <x:v>0</x:v>
      </x:c>
      <x:c r="G82" s="40"/>
      <x:c r="H82" s="41">
        <x:f t="shared" si="16"/>
        <x:v>0</x:v>
      </x:c>
      <x:c r="I82" s="38" t="str">
        <x:v>Elektromos</x:v>
      </x:c>
      <x:c r="J82" s="42"/>
    </x:row>
    <x:row r="83">
      <x:c r="A83" s="36"/>
      <x:c r="B83" s="37" t="str">
        <x:v>Fire-rated kábelrögzítők</x:v>
      </x:c>
      <x:c r="C83" s="38" t="str">
        <x:v>db</x:v>
      </x:c>
      <x:c r="D83" s="38">
        <x:v>7</x:v>
      </x:c>
      <x:c r="E83" s="38">
        <x:f t="shared" si="17"/>
        <x:v>0</x:v>
      </x:c>
      <x:c r="F83" s="39">
        <x:f t="shared" si="15"/>
        <x:v>0</x:v>
      </x:c>
      <x:c r="G83" s="40"/>
      <x:c r="H83" s="41">
        <x:f t="shared" si="16"/>
        <x:v>0</x:v>
      </x:c>
      <x:c r="I83" s="38" t="str">
        <x:v>Elektromos</x:v>
      </x:c>
      <x:c r="J83" s="42"/>
    </x:row>
    <x:row r="84">
      <x:c r="A84" s="36"/>
      <x:c r="B84" s="37" t="str">
        <x:v>Connector / Wago gyorscsatlakozó</x:v>
      </x:c>
      <x:c r="C84" s="38" t="str">
        <x:v>db</x:v>
      </x:c>
      <x:c r="D84" s="38">
        <x:v>2</x:v>
      </x:c>
      <x:c r="E84" s="38">
        <x:f t="shared" si="17"/>
        <x:v>0</x:v>
      </x:c>
      <x:c r="F84" s="39">
        <x:f t="shared" si="15"/>
        <x:v>0</x:v>
      </x:c>
      <x:c r="G84" s="40"/>
      <x:c r="H84" s="41">
        <x:f t="shared" si="16"/>
        <x:v>0</x:v>
      </x:c>
      <x:c r="I84" s="38" t="str">
        <x:v>Elektromos</x:v>
      </x:c>
      <x:c r="J84" s="42"/>
    </x:row>
    <x:row r="85">
      <x:c r="A85" s="36"/>
      <x:c r="B85" s="37" t="str">
        <x:v>Labour - electrician szerelés</x:v>
      </x:c>
      <x:c r="C85" s="38" t="str">
        <x:v>óra</x:v>
      </x:c>
      <x:c r="D85" s="38">
        <x:v>0.5</x:v>
      </x:c>
      <x:c r="E85" s="38">
        <x:f t="shared" si="17"/>
        <x:v>0</x:v>
      </x:c>
      <x:c r="F85" s="39">
        <x:f t="shared" si="15"/>
        <x:v>0</x:v>
      </x:c>
      <x:c r="G85" s="40"/>
      <x:c r="H85" s="41">
        <x:f t="shared" si="16"/>
        <x:v>0</x:v>
      </x:c>
      <x:c r="I85" s="38" t="str">
        <x:v>Munkaerő</x:v>
      </x:c>
      <x:c r="J85" s="42"/>
    </x:row>
    <x:row r="86">
      <x:c r="A86" s="36"/>
      <x:c r="B86" s="37" t="s">
        <x:v>36</x:v>
      </x:c>
      <x:c r="C86" s="38" t="str">
        <x:v>óra</x:v>
      </x:c>
      <x:c r="D86" s="38">
        <x:v>0.2</x:v>
      </x:c>
      <x:c r="E86" s="38">
        <x:f t="shared" si="17"/>
        <x:v>0</x:v>
      </x:c>
      <x:c r="F86" s="39">
        <x:f t="shared" si="15"/>
        <x:v>0</x:v>
      </x:c>
      <x:c r="G86" s="40"/>
      <x:c r="H86" s="41">
        <x:f t="shared" si="16"/>
        <x:v>0</x:v>
      </x:c>
      <x:c r="I86" s="38" t="str">
        <x:v>Munkaerő</x:v>
      </x:c>
      <x:c r="J86" s="42"/>
    </x:row>
    <x:row r="87">
      <x:c r="A87" s="36"/>
      <x:c r="B87" s="37" t="s">
        <x:v>39</x:v>
      </x:c>
      <x:c r="C87" s="38" t="str">
        <x:v>óra</x:v>
      </x:c>
      <x:c r="D87" s="38">
        <x:v>0.35</x:v>
      </x:c>
      <x:c r="E87" s="38">
        <x:f t="shared" si="17"/>
        <x:v>0</x:v>
      </x:c>
      <x:c r="F87" s="39">
        <x:f t="shared" si="15"/>
        <x:v>0</x:v>
      </x:c>
      <x:c r="G87" s="40"/>
      <x:c r="H87" s="41">
        <x:f t="shared" si="16"/>
        <x:v>0</x:v>
      </x:c>
      <x:c r="I87" s="38" t="str">
        <x:v>Gép</x:v>
      </x:c>
      <x:c r="J87" s="42"/>
    </x:row>
    <x:row r="88">
      <x:c r="A88" s="43"/>
      <x:c r="B88" s="44" t="s">
        <x:v>65</x:v>
      </x:c>
      <x:c r="C88" s="45"/>
      <x:c r="D88" s="45"/>
      <x:c r="E88" s="45"/>
      <x:c r="F88" s="45"/>
      <x:c r="G88" s="46"/>
      <x:c r="H88" s="47" t="n">
        <x:f>SUM(H79:H87)</x:f>
        <x:v>0</x:v>
      </x:c>
      <x:c r="I88" s="45"/>
      <x:c r="J88" s="48"/>
    </x:row>
    <x:row r="89">
      <x:c r="A89" s="68"/>
      <x:c r="B89" s="69"/>
      <x:c r="C89" s="49"/>
      <x:c r="D89" s="49"/>
      <x:c r="E89" s="49"/>
      <x:c r="F89" s="49"/>
      <x:c r="G89" s="50"/>
      <x:c r="H89" s="51"/>
      <x:c r="I89" s="49"/>
      <x:c r="J89" s="52" t="s">
        <x:v>66</x:v>
      </x:c>
    </x:row>
    <x:row r="90">
      <x:c r="A90" s="29" t="s">
        <x:v>34</x:v>
      </x:c>
      <x:c r="B90" s="30" t="s">
        <x:v>67</x:v>
      </x:c>
      <x:c r="C90" s="31" t="str">
        <x:v>db</x:v>
      </x:c>
      <x:c r="D90" s="31">
        <x:v>1</x:v>
      </x:c>
      <x:c r="E90" s="31" t="n">
        <x:f>'Electrical QTO'!M64</x:f>
        <x:v>0</x:v>
      </x:c>
      <x:c r="F90" s="32" t="n">
        <x:f t="shared" ref="F90:F102" si="18">D90*E90</x:f>
        <x:v>0</x:v>
      </x:c>
      <x:c r="G90" s="33"/>
      <x:c r="H90" s="34" t="n">
        <x:f t="shared" ref="H90:H102" si="19">F90*G90</x:f>
        <x:v>0</x:v>
      </x:c>
      <x:c r="I90" s="31" t="str">
        <x:v>Elektromos</x:v>
      </x:c>
      <x:c r="J90" s="35"/>
    </x:row>
    <x:row r="91">
      <x:c r="A91" s="36"/>
      <x:c r="B91" s="37" t="str">
        <x:v>öblítés mounting box / pattress</x:v>
      </x:c>
      <x:c r="C91" s="38" t="str">
        <x:v>db</x:v>
      </x:c>
      <x:c r="D91" s="38">
        <x:v>1</x:v>
      </x:c>
      <x:c r="E91" s="38" t="n">
        <x:f t="shared" ref="E91:E102" si="20">E$90</x:f>
        <x:v>0</x:v>
      </x:c>
      <x:c r="F91" s="39">
        <x:f t="shared" si="18"/>
        <x:v>0</x:v>
      </x:c>
      <x:c r="G91" s="40"/>
      <x:c r="H91" s="41">
        <x:f t="shared" si="19"/>
        <x:v>0</x:v>
      </x:c>
      <x:c r="I91" s="38" t="str">
        <x:v>Elektromos</x:v>
      </x:c>
      <x:c r="J91" s="42"/>
    </x:row>
    <x:row r="92">
      <x:c r="A92" s="36"/>
      <x:c r="B92" s="37" t="str">
        <x:v>áramköri kábel (2.5mm² TPS kábel)</x:v>
      </x:c>
      <x:c r="C92" s="38" t="str">
        <x:v>fm</x:v>
      </x:c>
      <x:c r="D92" s="38">
        <x:v>12</x:v>
      </x:c>
      <x:c r="E92" s="38">
        <x:f t="shared" si="20"/>
        <x:v>0</x:v>
      </x:c>
      <x:c r="F92" s="39">
        <x:f t="shared" si="18"/>
        <x:v>0</x:v>
      </x:c>
      <x:c r="G92" s="40"/>
      <x:c r="H92" s="41">
        <x:f t="shared" si="19"/>
        <x:v>0</x:v>
      </x:c>
      <x:c r="I92" s="38" t="str">
        <x:v>Elektromos</x:v>
      </x:c>
      <x:c r="J92" s="42" t="str">
        <x:v>átlagos circuit run</x:v>
      </x:c>
    </x:row>
    <x:row r="93">
      <x:c r="A93" s="36"/>
      <x:c r="B93" s="37" t="str">
        <x:v>kábelrögzítők / rögzítőelemek</x:v>
      </x:c>
      <x:c r="C93" s="38" t="str">
        <x:v>db</x:v>
      </x:c>
      <x:c r="D93" s="38">
        <x:v>8</x:v>
      </x:c>
      <x:c r="E93" s="38">
        <x:f t="shared" si="20"/>
        <x:v>0</x:v>
      </x:c>
      <x:c r="F93" s="39">
        <x:f t="shared" si="18"/>
        <x:v>0</x:v>
      </x:c>
      <x:c r="G93" s="40"/>
      <x:c r="H93" s="41">
        <x:f t="shared" si="19"/>
        <x:v>0</x:v>
      </x:c>
      <x:c r="I93" s="38" t="str">
        <x:v>Elektromos</x:v>
      </x:c>
      <x:c r="J93" s="42"/>
    </x:row>
    <x:row r="94">
      <x:c r="A94" s="36"/>
      <x:c r="B94" s="37" t="str">
        <x:v>Earth conductor (if külön kezelendő)</x:v>
      </x:c>
      <x:c r="C94" s="38" t="str">
        <x:v>fm</x:v>
      </x:c>
      <x:c r="D94" s="38">
        <x:v>0</x:v>
      </x:c>
      <x:c r="E94" s="38">
        <x:f t="shared" si="20"/>
        <x:v>0</x:v>
      </x:c>
      <x:c r="F94" s="39">
        <x:f t="shared" si="18"/>
        <x:v>0</x:v>
      </x:c>
      <x:c r="G94" s="40"/>
      <x:c r="H94" s="41">
        <x:f t="shared" si="19"/>
        <x:v>0</x:v>
      </x:c>
      <x:c r="I94" s="38" t="str">
        <x:v>Elektromos</x:v>
      </x:c>
      <x:c r="J94" s="42" t="str">
        <x:v>Included in TPS kábel</x:v>
      </x:c>
    </x:row>
    <x:row r="95">
      <x:c r="A95" s="36"/>
      <x:c r="B95" s="37" t="str">
        <x:v>védőcső (20mm PVC, if exposed)</x:v>
      </x:c>
      <x:c r="C95" s="38" t="str">
        <x:v>fm</x:v>
      </x:c>
      <x:c r="D95" s="38">
        <x:v>3</x:v>
      </x:c>
      <x:c r="E95" s="38">
        <x:f t="shared" si="20"/>
        <x:v>0</x:v>
      </x:c>
      <x:c r="F95" s="39">
        <x:f t="shared" si="18"/>
        <x:v>0</x:v>
      </x:c>
      <x:c r="G95" s="40"/>
      <x:c r="H95" s="41">
        <x:f t="shared" si="19"/>
        <x:v>0</x:v>
      </x:c>
      <x:c r="I95" s="38" t="str">
        <x:v>Elektromos</x:v>
      </x:c>
      <x:c r="J95" s="42" t="str">
        <x:v>30% in védőcső</x:v>
      </x:c>
    </x:row>
    <x:row r="96">
      <x:c r="A96" s="36"/>
      <x:c r="B96" s="37" t="str">
        <x:v>védőcső idomok (ív idomok/saddles)</x:v>
      </x:c>
      <x:c r="C96" s="38" t="str">
        <x:v>db</x:v>
      </x:c>
      <x:c r="D96" s="38">
        <x:v>2</x:v>
      </x:c>
      <x:c r="E96" s="38">
        <x:f t="shared" si="20"/>
        <x:v>0</x:v>
      </x:c>
      <x:c r="F96" s="39">
        <x:f t="shared" si="18"/>
        <x:v>0</x:v>
      </x:c>
      <x:c r="G96" s="40"/>
      <x:c r="H96" s="41">
        <x:f t="shared" si="19"/>
        <x:v>0</x:v>
      </x:c>
      <x:c r="I96" s="38" t="str">
        <x:v>Elektromos</x:v>
      </x:c>
      <x:c r="J96" s="42"/>
    </x:row>
    <x:row r="97">
      <x:c r="A97" s="36"/>
      <x:c r="B97" s="37" t="s">
        <x:v>35</x:v>
      </x:c>
      <x:c r="C97" s="38" t="str">
        <x:v>db</x:v>
      </x:c>
      <x:c r="D97" s="38">
        <x:v>0.15</x:v>
      </x:c>
      <x:c r="E97" s="38">
        <x:f t="shared" si="20"/>
        <x:v>0</x:v>
      </x:c>
      <x:c r="F97" s="39">
        <x:f t="shared" si="18"/>
        <x:v>0</x:v>
      </x:c>
      <x:c r="G97" s="40"/>
      <x:c r="H97" s="41">
        <x:f t="shared" si="19"/>
        <x:v>0</x:v>
      </x:c>
      <x:c r="I97" s="38" t="str">
        <x:v>Elektromos</x:v>
      </x:c>
      <x:c r="J97" s="42" t="s">
        <x:v>68</x:v>
      </x:c>
    </x:row>
    <x:row r="98">
      <x:c r="A98" s="36"/>
      <x:c r="B98" s="37" t="s">
        <x:v>69</x:v>
      </x:c>
      <x:c r="C98" s="38" t="str">
        <x:v>db</x:v>
      </x:c>
      <x:c r="D98" s="38">
        <x:v>0.1</x:v>
      </x:c>
      <x:c r="E98" s="38">
        <x:f t="shared" si="20"/>
        <x:v>0</x:v>
      </x:c>
      <x:c r="F98" s="39">
        <x:f t="shared" si="18"/>
        <x:v>0</x:v>
      </x:c>
      <x:c r="G98" s="40"/>
      <x:c r="H98" s="41">
        <x:f t="shared" si="19"/>
        <x:v>0</x:v>
      </x:c>
      <x:c r="I98" s="38" t="str">
        <x:v>Elektromos</x:v>
      </x:c>
      <x:c r="J98" s="42" t="s">
        <x:v>70</x:v>
      </x:c>
    </x:row>
    <x:row r="99">
      <x:c r="A99" s="36"/>
      <x:c r="B99" s="37" t="s">
        <x:v>71</x:v>
      </x:c>
      <x:c r="C99" s="38" t="str">
        <x:v>óra</x:v>
      </x:c>
      <x:c r="D99" s="38">
        <x:v>0.3</x:v>
      </x:c>
      <x:c r="E99" s="38">
        <x:f t="shared" si="20"/>
        <x:v>0</x:v>
      </x:c>
      <x:c r="F99" s="39">
        <x:f t="shared" si="18"/>
        <x:v>0</x:v>
      </x:c>
      <x:c r="G99" s="40"/>
      <x:c r="H99" s="41">
        <x:f t="shared" si="19"/>
        <x:v>0</x:v>
      </x:c>
      <x:c r="I99" s="38" t="str">
        <x:v>Munkaerő</x:v>
      </x:c>
      <x:c r="J99" s="42" t="str">
        <x:v>Rough-in &amp; kábel</x:v>
      </x:c>
    </x:row>
    <x:row r="100">
      <x:c r="A100" s="36"/>
      <x:c r="B100" s="37" t="s">
        <x:v>72</x:v>
      </x:c>
      <x:c r="C100" s="38" t="str">
        <x:v>óra</x:v>
      </x:c>
      <x:c r="D100" s="38">
        <x:v>0.25</x:v>
      </x:c>
      <x:c r="E100" s="38">
        <x:f t="shared" si="20"/>
        <x:v>0</x:v>
      </x:c>
      <x:c r="F100" s="39">
        <x:f t="shared" si="18"/>
        <x:v>0</x:v>
      </x:c>
      <x:c r="G100" s="40"/>
      <x:c r="H100" s="41">
        <x:f t="shared" si="19"/>
        <x:v>0</x:v>
      </x:c>
      <x:c r="I100" s="38" t="str">
        <x:v>Munkaerő</x:v>
      </x:c>
      <x:c r="J100" s="42" t="s">
        <x:v>73</x:v>
      </x:c>
    </x:row>
    <x:row r="101">
      <x:c r="A101" s="36"/>
      <x:c r="B101" s="37" t="s">
        <x:v>36</x:v>
      </x:c>
      <x:c r="C101" s="38" t="str">
        <x:v>óra</x:v>
      </x:c>
      <x:c r="D101" s="38">
        <x:v>0.1</x:v>
      </x:c>
      <x:c r="E101" s="38">
        <x:f t="shared" si="20"/>
        <x:v>0</x:v>
      </x:c>
      <x:c r="F101" s="39">
        <x:f t="shared" si="18"/>
        <x:v>0</x:v>
      </x:c>
      <x:c r="G101" s="40"/>
      <x:c r="H101" s="41">
        <x:f t="shared" si="19"/>
        <x:v>0</x:v>
      </x:c>
      <x:c r="I101" s="38" t="str">
        <x:v>Munkaerő</x:v>
      </x:c>
      <x:c r="J101" s="42"/>
    </x:row>
    <x:row r="102">
      <x:c r="A102" s="36"/>
      <x:c r="B102" s="37" t="s">
        <x:v>74</x:v>
      </x:c>
      <x:c r="C102" s="38" t="str">
        <x:v>óra</x:v>
      </x:c>
      <x:c r="D102" s="38">
        <x:v>0.1</x:v>
      </x:c>
      <x:c r="E102" s="38">
        <x:f t="shared" si="20"/>
        <x:v>0</x:v>
      </x:c>
      <x:c r="F102" s="39">
        <x:f t="shared" si="18"/>
        <x:v>0</x:v>
      </x:c>
      <x:c r="G102" s="40"/>
      <x:c r="H102" s="41">
        <x:f t="shared" si="19"/>
        <x:v>0</x:v>
      </x:c>
      <x:c r="I102" s="38" t="str">
        <x:v>Gép</x:v>
      </x:c>
      <x:c r="J102" s="42"/>
    </x:row>
    <x:row r="103">
      <x:c r="A103" s="43"/>
      <x:c r="B103" s="44" t="s">
        <x:v>75</x:v>
      </x:c>
      <x:c r="C103" s="45"/>
      <x:c r="D103" s="45"/>
      <x:c r="E103" s="45"/>
      <x:c r="F103" s="45"/>
      <x:c r="G103" s="46"/>
      <x:c r="H103" s="47" t="n">
        <x:f>SUM(H90:H102)</x:f>
        <x:v>0</x:v>
      </x:c>
      <x:c r="I103" s="45"/>
      <x:c r="J103" s="48"/>
    </x:row>
    <x:row r="104">
      <x:c r="A104" s="68"/>
      <x:c r="B104" s="69"/>
      <x:c r="C104" s="49"/>
      <x:c r="D104" s="49"/>
      <x:c r="E104" s="49"/>
      <x:c r="F104" s="49"/>
      <x:c r="G104" s="50"/>
      <x:c r="H104" s="51"/>
      <x:c r="I104" s="49"/>
      <x:c r="J104" s="52" t="s">
        <x:v>76</x:v>
      </x:c>
    </x:row>
    <x:row r="105">
      <x:c r="A105" s="29" t="s">
        <x:v>34</x:v>
      </x:c>
      <x:c r="B105" s="30" t="str">
        <x:v>egyszárnyú GPO mechanism + plate</x:v>
      </x:c>
      <x:c r="C105" s="31" t="str">
        <x:v>db</x:v>
      </x:c>
      <x:c r="D105" s="31">
        <x:v>1</x:v>
      </x:c>
      <x:c r="E105" s="31" t="n">
        <x:f>'Electrical QTO'!M63</x:f>
        <x:v>0</x:v>
      </x:c>
      <x:c r="F105" s="32" t="n">
        <x:f t="shared" ref="F105:F114" si="21">D105*E105</x:f>
        <x:v>0</x:v>
      </x:c>
      <x:c r="G105" s="33"/>
      <x:c r="H105" s="34" t="n">
        <x:f t="shared" ref="H105:H114" si="22">F105*G105</x:f>
        <x:v>0</x:v>
      </x:c>
      <x:c r="I105" s="31" t="str">
        <x:v>Elektromos</x:v>
      </x:c>
      <x:c r="J105" s="35"/>
    </x:row>
    <x:row r="106">
      <x:c r="A106" s="36"/>
      <x:c r="B106" s="37" t="str">
        <x:v>öblítés mounting box / pattress</x:v>
      </x:c>
      <x:c r="C106" s="38" t="str">
        <x:v>db</x:v>
      </x:c>
      <x:c r="D106" s="38">
        <x:v>1</x:v>
      </x:c>
      <x:c r="E106" s="38" t="n">
        <x:f t="shared" ref="E106:E114" si="23">E$105</x:f>
        <x:v>0</x:v>
      </x:c>
      <x:c r="F106" s="39">
        <x:f t="shared" si="21"/>
        <x:v>0</x:v>
      </x:c>
      <x:c r="G106" s="40"/>
      <x:c r="H106" s="41">
        <x:f t="shared" si="22"/>
        <x:v>0</x:v>
      </x:c>
      <x:c r="I106" s="38" t="str">
        <x:v>Elektromos</x:v>
      </x:c>
      <x:c r="J106" s="42"/>
    </x:row>
    <x:row r="107">
      <x:c r="A107" s="36"/>
      <x:c r="B107" s="37" t="str">
        <x:v>áramköri kábel (2.5mm² TPS kábel)</x:v>
      </x:c>
      <x:c r="C107" s="38" t="str">
        <x:v>fm</x:v>
      </x:c>
      <x:c r="D107" s="38">
        <x:v>12</x:v>
      </x:c>
      <x:c r="E107" s="38">
        <x:f t="shared" si="23"/>
        <x:v>0</x:v>
      </x:c>
      <x:c r="F107" s="39">
        <x:f t="shared" si="21"/>
        <x:v>0</x:v>
      </x:c>
      <x:c r="G107" s="40"/>
      <x:c r="H107" s="41">
        <x:f t="shared" si="22"/>
        <x:v>0</x:v>
      </x:c>
      <x:c r="I107" s="38" t="str">
        <x:v>Elektromos</x:v>
      </x:c>
      <x:c r="J107" s="42"/>
    </x:row>
    <x:row r="108">
      <x:c r="A108" s="36"/>
      <x:c r="B108" s="37" t="str">
        <x:v>kábelrögzítők / rögzítőelemek</x:v>
      </x:c>
      <x:c r="C108" s="38" t="str">
        <x:v>db</x:v>
      </x:c>
      <x:c r="D108" s="38">
        <x:v>8</x:v>
      </x:c>
      <x:c r="E108" s="38">
        <x:f t="shared" si="23"/>
        <x:v>0</x:v>
      </x:c>
      <x:c r="F108" s="39">
        <x:f t="shared" si="21"/>
        <x:v>0</x:v>
      </x:c>
      <x:c r="G108" s="40"/>
      <x:c r="H108" s="41">
        <x:f t="shared" si="22"/>
        <x:v>0</x:v>
      </x:c>
      <x:c r="I108" s="38" t="str">
        <x:v>Elektromos</x:v>
      </x:c>
      <x:c r="J108" s="42"/>
    </x:row>
    <x:row r="109">
      <x:c r="A109" s="36"/>
      <x:c r="B109" s="37" t="str">
        <x:v>védőcső (20mm PVC, if exposed)</x:v>
      </x:c>
      <x:c r="C109" s="38" t="str">
        <x:v>fm</x:v>
      </x:c>
      <x:c r="D109" s="38">
        <x:v>3</x:v>
      </x:c>
      <x:c r="E109" s="38">
        <x:f t="shared" si="23"/>
        <x:v>0</x:v>
      </x:c>
      <x:c r="F109" s="39">
        <x:f t="shared" si="21"/>
        <x:v>0</x:v>
      </x:c>
      <x:c r="G109" s="40"/>
      <x:c r="H109" s="41">
        <x:f t="shared" si="22"/>
        <x:v>0</x:v>
      </x:c>
      <x:c r="I109" s="38" t="str">
        <x:v>Elektromos</x:v>
      </x:c>
      <x:c r="J109" s="42"/>
    </x:row>
    <x:row r="110">
      <x:c r="A110" s="36"/>
      <x:c r="B110" s="37" t="s">
        <x:v>35</x:v>
      </x:c>
      <x:c r="C110" s="38" t="str">
        <x:v>db</x:v>
      </x:c>
      <x:c r="D110" s="38">
        <x:v>0.15</x:v>
      </x:c>
      <x:c r="E110" s="38">
        <x:f t="shared" si="23"/>
        <x:v>0</x:v>
      </x:c>
      <x:c r="F110" s="39">
        <x:f t="shared" si="21"/>
        <x:v>0</x:v>
      </x:c>
      <x:c r="G110" s="40"/>
      <x:c r="H110" s="41">
        <x:f t="shared" si="22"/>
        <x:v>0</x:v>
      </x:c>
      <x:c r="I110" s="38" t="str">
        <x:v>Elektromos</x:v>
      </x:c>
      <x:c r="J110" s="42"/>
    </x:row>
    <x:row r="111">
      <x:c r="A111" s="36"/>
      <x:c r="B111" s="37" t="s">
        <x:v>69</x:v>
      </x:c>
      <x:c r="C111" s="38" t="str">
        <x:v>db</x:v>
      </x:c>
      <x:c r="D111" s="38">
        <x:v>0.1</x:v>
      </x:c>
      <x:c r="E111" s="38">
        <x:f t="shared" si="23"/>
        <x:v>0</x:v>
      </x:c>
      <x:c r="F111" s="39">
        <x:f t="shared" si="21"/>
        <x:v>0</x:v>
      </x:c>
      <x:c r="G111" s="40"/>
      <x:c r="H111" s="41">
        <x:f t="shared" si="22"/>
        <x:v>0</x:v>
      </x:c>
      <x:c r="I111" s="38" t="str">
        <x:v>Elektromos</x:v>
      </x:c>
      <x:c r="J111" s="42"/>
    </x:row>
    <x:row r="112">
      <x:c r="A112" s="36"/>
      <x:c r="B112" s="37" t="s">
        <x:v>71</x:v>
      </x:c>
      <x:c r="C112" s="38" t="str">
        <x:v>óra</x:v>
      </x:c>
      <x:c r="D112" s="38">
        <x:v>0.25</x:v>
      </x:c>
      <x:c r="E112" s="38">
        <x:f t="shared" si="23"/>
        <x:v>0</x:v>
      </x:c>
      <x:c r="F112" s="39">
        <x:f t="shared" si="21"/>
        <x:v>0</x:v>
      </x:c>
      <x:c r="G112" s="40"/>
      <x:c r="H112" s="41">
        <x:f t="shared" si="22"/>
        <x:v>0</x:v>
      </x:c>
      <x:c r="I112" s="38" t="str">
        <x:v>Munkaerő</x:v>
      </x:c>
      <x:c r="J112" s="42"/>
    </x:row>
    <x:row r="113">
      <x:c r="A113" s="36"/>
      <x:c r="B113" s="37" t="s">
        <x:v>72</x:v>
      </x:c>
      <x:c r="C113" s="38" t="str">
        <x:v>óra</x:v>
      </x:c>
      <x:c r="D113" s="38">
        <x:v>0.2</x:v>
      </x:c>
      <x:c r="E113" s="38">
        <x:f t="shared" si="23"/>
        <x:v>0</x:v>
      </x:c>
      <x:c r="F113" s="39">
        <x:f t="shared" si="21"/>
        <x:v>0</x:v>
      </x:c>
      <x:c r="G113" s="40"/>
      <x:c r="H113" s="41">
        <x:f t="shared" si="22"/>
        <x:v>0</x:v>
      </x:c>
      <x:c r="I113" s="38" t="str">
        <x:v>Munkaerő</x:v>
      </x:c>
      <x:c r="J113" s="42"/>
    </x:row>
    <x:row r="114">
      <x:c r="A114" s="36"/>
      <x:c r="B114" s="37" t="s">
        <x:v>36</x:v>
      </x:c>
      <x:c r="C114" s="38" t="str">
        <x:v>óra</x:v>
      </x:c>
      <x:c r="D114" s="38">
        <x:v>0.1</x:v>
      </x:c>
      <x:c r="E114" s="38">
        <x:f t="shared" si="23"/>
        <x:v>0</x:v>
      </x:c>
      <x:c r="F114" s="39">
        <x:f t="shared" si="21"/>
        <x:v>0</x:v>
      </x:c>
      <x:c r="G114" s="40"/>
      <x:c r="H114" s="41">
        <x:f t="shared" si="22"/>
        <x:v>0</x:v>
      </x:c>
      <x:c r="I114" s="38" t="str">
        <x:v>Munkaerő</x:v>
      </x:c>
      <x:c r="J114" s="42"/>
    </x:row>
    <x:row r="115">
      <x:c r="A115" s="43"/>
      <x:c r="B115" s="44" t="s">
        <x:v>77</x:v>
      </x:c>
      <x:c r="C115" s="45"/>
      <x:c r="D115" s="45"/>
      <x:c r="E115" s="45"/>
      <x:c r="F115" s="45"/>
      <x:c r="G115" s="46"/>
      <x:c r="H115" s="47" t="n">
        <x:f>SUM(H105:H114)</x:f>
        <x:v>0</x:v>
      </x:c>
      <x:c r="I115" s="45"/>
      <x:c r="J115" s="48"/>
    </x:row>
    <x:row r="116">
      <x:c r="A116" s="68"/>
      <x:c r="B116" s="69"/>
      <x:c r="C116" s="49"/>
      <x:c r="D116" s="49"/>
      <x:c r="E116" s="49"/>
      <x:c r="F116" s="49"/>
      <x:c r="G116" s="50"/>
      <x:c r="H116" s="51"/>
      <x:c r="I116" s="49"/>
      <x:c r="J116" s="52" t="s">
        <x:v>78</x:v>
      </x:c>
    </x:row>
    <x:row r="117">
      <x:c r="A117" s="29" t="s">
        <x:v>34</x:v>
      </x:c>
      <x:c r="B117" s="30" t="str">
        <x:v>kábeltálca (___mm széles)</x:v>
      </x:c>
      <x:c r="C117" s="31" t="str">
        <x:v>fm</x:v>
      </x:c>
      <x:c r="D117" s="31">
        <x:v>1</x:v>
      </x:c>
      <x:c r="E117" s="31" t="n">
        <x:f>'Electrical QTO'!M11</x:f>
        <x:v>0</x:v>
      </x:c>
      <x:c r="F117" s="32" t="n">
        <x:f t="shared" ref="F117:F128" si="24">D117*E117</x:f>
        <x:v>0</x:v>
      </x:c>
      <x:c r="G117" s="33"/>
      <x:c r="H117" s="34" t="n">
        <x:f t="shared" ref="H117:H128" si="25">F117*G117</x:f>
        <x:v>0</x:v>
      </x:c>
      <x:c r="I117" s="31" t="str">
        <x:v>Elektromos</x:v>
      </x:c>
      <x:c r="J117" s="35" t="str">
        <x:v>nagy teherbírású</x:v>
      </x:c>
    </x:row>
    <x:row r="118">
      <x:c r="A118" s="36"/>
      <x:c r="B118" s="37" t="str">
        <x:v>tálca coupler / splice plate</x:v>
      </x:c>
      <x:c r="C118" s="38" t="str">
        <x:v>db</x:v>
      </x:c>
      <x:c r="D118" s="38">
        <x:v>0.34</x:v>
      </x:c>
      <x:c r="E118" s="38" t="n">
        <x:f t="shared" ref="E118:E128" si="26">E$117</x:f>
        <x:v>0</x:v>
      </x:c>
      <x:c r="F118" s="39">
        <x:f t="shared" si="24"/>
        <x:v>0</x:v>
      </x:c>
      <x:c r="G118" s="40"/>
      <x:c r="H118" s="41">
        <x:f t="shared" si="25"/>
        <x:v>0</x:v>
      </x:c>
      <x:c r="I118" s="38" t="str">
        <x:v>Elektromos</x:v>
      </x:c>
      <x:c r="J118" s="42" t="s">
        <x:v>79</x:v>
      </x:c>
    </x:row>
    <x:row r="119">
      <x:c r="A119" s="36"/>
      <x:c r="B119" s="37" t="str">
        <x:v>alátámasztás / tartószerkezet bracket / trapeze</x:v>
      </x:c>
      <x:c r="C119" s="38" t="str">
        <x:v>db</x:v>
      </x:c>
      <x:c r="D119" s="38">
        <x:v>0.5</x:v>
      </x:c>
      <x:c r="E119" s="38">
        <x:f t="shared" si="26"/>
        <x:v>0</x:v>
      </x:c>
      <x:c r="F119" s="39">
        <x:f t="shared" si="24"/>
        <x:v>0</x:v>
      </x:c>
      <x:c r="G119" s="40"/>
      <x:c r="H119" s="41">
        <x:f t="shared" si="25"/>
        <x:v>0</x:v>
      </x:c>
      <x:c r="I119" s="38" t="str">
        <x:v>Elektromos</x:v>
      </x:c>
      <x:c r="J119" s="42" t="s">
        <x:v>80</x:v>
      </x:c>
    </x:row>
    <x:row r="120">
      <x:c r="A120" s="36"/>
      <x:c r="B120" s="37" t="str">
        <x:v>menetes szár (M10, 0.5m átlagos)</x:v>
      </x:c>
      <x:c r="C120" s="38" t="str">
        <x:v>fm</x:v>
      </x:c>
      <x:c r="D120" s="38">
        <x:v>0.25</x:v>
      </x:c>
      <x:c r="E120" s="38">
        <x:f t="shared" si="26"/>
        <x:v>0</x:v>
      </x:c>
      <x:c r="F120" s="39">
        <x:f t="shared" si="24"/>
        <x:v>0</x:v>
      </x:c>
      <x:c r="G120" s="40"/>
      <x:c r="H120" s="41">
        <x:f t="shared" si="25"/>
        <x:v>0</x:v>
      </x:c>
      <x:c r="I120" s="38" t="str">
        <x:v>Elektromos</x:v>
      </x:c>
      <x:c r="J120" s="42"/>
    </x:row>
    <x:row r="121">
      <x:c r="A121" s="36"/>
      <x:c r="B121" s="37" t="str">
        <x:v>Channel / unistrut (alátámasztás / tartószerkezet)</x:v>
      </x:c>
      <x:c r="C121" s="38" t="str">
        <x:v>fm</x:v>
      </x:c>
      <x:c r="D121" s="38">
        <x:v>0.5</x:v>
      </x:c>
      <x:c r="E121" s="38">
        <x:f t="shared" si="26"/>
        <x:v>0</x:v>
      </x:c>
      <x:c r="F121" s="39">
        <x:f t="shared" si="24"/>
        <x:v>0</x:v>
      </x:c>
      <x:c r="G121" s="40"/>
      <x:c r="H121" s="41">
        <x:f t="shared" si="25"/>
        <x:v>0</x:v>
      </x:c>
      <x:c r="I121" s="38" t="str">
        <x:v>Elektromos</x:v>
      </x:c>
      <x:c r="J121" s="42" t="str">
        <x:v>Trapeze alátámasztás / tartószerkezet</x:v>
      </x:c>
    </x:row>
    <x:row r="122">
      <x:c r="A122" s="36"/>
      <x:c r="B122" s="37" t="s">
        <x:v>81</x:v>
      </x:c>
      <x:c r="C122" s="38" t="str">
        <x:v>db</x:v>
      </x:c>
      <x:c r="D122" s="38">
        <x:v>1</x:v>
      </x:c>
      <x:c r="E122" s="38">
        <x:f t="shared" si="26"/>
        <x:v>0</x:v>
      </x:c>
      <x:c r="F122" s="39">
        <x:f t="shared" si="24"/>
        <x:v>0</x:v>
      </x:c>
      <x:c r="G122" s="40"/>
      <x:c r="H122" s="41">
        <x:f t="shared" si="25"/>
        <x:v>0</x:v>
      </x:c>
      <x:c r="I122" s="38" t="str">
        <x:v>Elektromos</x:v>
      </x:c>
      <x:c r="J122" s="42" t="s">
        <x:v>82</x:v>
      </x:c>
    </x:row>
    <x:row r="123">
      <x:c r="A123" s="36"/>
      <x:c r="B123" s="37" t="s">
        <x:v>83</x:v>
      </x:c>
      <x:c r="C123" s="38" t="str">
        <x:v>db</x:v>
      </x:c>
      <x:c r="D123" s="38">
        <x:v>0.34</x:v>
      </x:c>
      <x:c r="E123" s="38">
        <x:f t="shared" si="26"/>
        <x:v>0</x:v>
      </x:c>
      <x:c r="F123" s="39">
        <x:f t="shared" si="24"/>
        <x:v>0</x:v>
      </x:c>
      <x:c r="G123" s="40"/>
      <x:c r="H123" s="41">
        <x:f t="shared" si="25"/>
        <x:v>0</x:v>
      </x:c>
      <x:c r="I123" s="38" t="str">
        <x:v>Elektromos</x:v>
      </x:c>
      <x:c r="J123" s="42" t="s">
        <x:v>84</x:v>
      </x:c>
    </x:row>
    <x:row r="124">
      <x:c r="A124" s="36"/>
      <x:c r="B124" s="37" t="str">
        <x:v>tálca fedlap (if specified)</x:v>
      </x:c>
      <x:c r="C124" s="38" t="str">
        <x:v>fm</x:v>
      </x:c>
      <x:c r="D124" s="38">
        <x:v>0.5</x:v>
      </x:c>
      <x:c r="E124" s="38">
        <x:f t="shared" si="26"/>
        <x:v>0</x:v>
      </x:c>
      <x:c r="F124" s="39">
        <x:f t="shared" si="24"/>
        <x:v>0</x:v>
      </x:c>
      <x:c r="G124" s="40"/>
      <x:c r="H124" s="41">
        <x:f t="shared" si="25"/>
        <x:v>0</x:v>
      </x:c>
      <x:c r="I124" s="38" t="str">
        <x:v>Elektromos</x:v>
      </x:c>
      <x:c r="J124" s="42" t="s">
        <x:v>85</x:v>
      </x:c>
    </x:row>
    <x:row r="125">
      <x:c r="A125" s="36"/>
      <x:c r="B125" s="37" t="str">
        <x:v>Labour - electrician szerelés</x:v>
      </x:c>
      <x:c r="C125" s="38" t="str">
        <x:v>óra</x:v>
      </x:c>
      <x:c r="D125" s="38">
        <x:v>0.4</x:v>
      </x:c>
      <x:c r="E125" s="38">
        <x:f t="shared" si="26"/>
        <x:v>0</x:v>
      </x:c>
      <x:c r="F125" s="39">
        <x:f t="shared" si="24"/>
        <x:v>0</x:v>
      </x:c>
      <x:c r="G125" s="40"/>
      <x:c r="H125" s="41">
        <x:f t="shared" si="25"/>
        <x:v>0</x:v>
      </x:c>
      <x:c r="I125" s="38" t="str">
        <x:v>Munkaerő</x:v>
      </x:c>
      <x:c r="J125" s="42" t="str">
        <x:v>folyóméterenként</x:v>
      </x:c>
    </x:row>
    <x:row r="126">
      <x:c r="A126" s="36"/>
      <x:c r="B126" s="37" t="s">
        <x:v>38</x:v>
      </x:c>
      <x:c r="C126" s="38" t="str">
        <x:v>óra</x:v>
      </x:c>
      <x:c r="D126" s="38">
        <x:v>0.4</x:v>
      </x:c>
      <x:c r="E126" s="38">
        <x:f t="shared" si="26"/>
        <x:v>0</x:v>
      </x:c>
      <x:c r="F126" s="39">
        <x:f t="shared" si="24"/>
        <x:v>0</x:v>
      </x:c>
      <x:c r="G126" s="40"/>
      <x:c r="H126" s="41">
        <x:f t="shared" si="25"/>
        <x:v>0</x:v>
      </x:c>
      <x:c r="I126" s="38" t="str">
        <x:v>Munkaerő</x:v>
      </x:c>
      <x:c r="J126" s="42"/>
    </x:row>
    <x:row r="127">
      <x:c r="A127" s="36"/>
      <x:c r="B127" s="37" t="s">
        <x:v>86</x:v>
      </x:c>
      <x:c r="C127" s="38" t="str">
        <x:v>óra</x:v>
      </x:c>
      <x:c r="D127" s="38">
        <x:v>0.3</x:v>
      </x:c>
      <x:c r="E127" s="38">
        <x:f t="shared" si="26"/>
        <x:v>0</x:v>
      </x:c>
      <x:c r="F127" s="39">
        <x:f t="shared" si="24"/>
        <x:v>0</x:v>
      </x:c>
      <x:c r="G127" s="40"/>
      <x:c r="H127" s="41">
        <x:f t="shared" si="25"/>
        <x:v>0</x:v>
      </x:c>
      <x:c r="I127" s="38" t="str">
        <x:v>Gép</x:v>
      </x:c>
      <x:c r="J127" s="42"/>
    </x:row>
    <x:row r="128">
      <x:c r="A128" s="36"/>
      <x:c r="B128" s="37" t="s">
        <x:v>87</x:v>
      </x:c>
      <x:c r="C128" s="38" t="str">
        <x:v>óra</x:v>
      </x:c>
      <x:c r="D128" s="38">
        <x:v>0.2</x:v>
      </x:c>
      <x:c r="E128" s="38">
        <x:f t="shared" si="26"/>
        <x:v>0</x:v>
      </x:c>
      <x:c r="F128" s="39">
        <x:f t="shared" si="24"/>
        <x:v>0</x:v>
      </x:c>
      <x:c r="G128" s="40"/>
      <x:c r="H128" s="41">
        <x:f t="shared" si="25"/>
        <x:v>0</x:v>
      </x:c>
      <x:c r="I128" s="38" t="str">
        <x:v>Gép</x:v>
      </x:c>
      <x:c r="J128" s="42"/>
    </x:row>
    <x:row r="129">
      <x:c r="A129" s="43"/>
      <x:c r="B129" s="44" t="s">
        <x:v>88</x:v>
      </x:c>
      <x:c r="C129" s="45"/>
      <x:c r="D129" s="45"/>
      <x:c r="E129" s="45"/>
      <x:c r="F129" s="45"/>
      <x:c r="G129" s="46"/>
      <x:c r="H129" s="47" t="n">
        <x:f>SUM(H117:H128)</x:f>
        <x:v>0</x:v>
      </x:c>
      <x:c r="I129" s="45"/>
      <x:c r="J129" s="48"/>
    </x:row>
    <x:row r="130">
      <x:c r="A130" s="68"/>
      <x:c r="B130" s="69"/>
      <x:c r="C130" s="49"/>
      <x:c r="D130" s="49"/>
      <x:c r="E130" s="49"/>
      <x:c r="F130" s="49"/>
      <x:c r="G130" s="50"/>
      <x:c r="H130" s="51"/>
      <x:c r="I130" s="49"/>
      <x:c r="J130" s="52" t="s">
        <x:v>89</x:v>
      </x:c>
    </x:row>
    <x:row r="131">
      <x:c r="A131" s="29" t="s">
        <x:v>34</x:v>
      </x:c>
      <x:c r="B131" s="30" t="str">
        <x:v>Underground védőcső (HDPE/uPVC)</x:v>
      </x:c>
      <x:c r="C131" s="31" t="str">
        <x:v>fm</x:v>
      </x:c>
      <x:c r="D131" s="31">
        <x:v>1</x:v>
      </x:c>
      <x:c r="E131" s="31" t="n">
        <x:f>'Electrical QTO'!M25</x:f>
        <x:v>0</x:v>
      </x:c>
      <x:c r="F131" s="32" t="n">
        <x:f t="shared" ref="F131:F140" si="27">D131*E131</x:f>
        <x:v>0</x:v>
      </x:c>
      <x:c r="G131" s="33"/>
      <x:c r="H131" s="34" t="n">
        <x:f t="shared" ref="H131:H140" si="28">F131*G131</x:f>
        <x:v>0</x:v>
      </x:c>
      <x:c r="I131" s="31" t="str">
        <x:v>Elektromos</x:v>
      </x:c>
      <x:c r="J131" s="35" t="s">
        <x:v>90</x:v>
      </x:c>
    </x:row>
    <x:row r="132">
      <x:c r="A132" s="36"/>
      <x:c r="B132" s="37" t="str">
        <x:v>védőcső coupling / joint</x:v>
      </x:c>
      <x:c r="C132" s="38" t="str">
        <x:v>db</x:v>
      </x:c>
      <x:c r="D132" s="38">
        <x:v>0.17</x:v>
      </x:c>
      <x:c r="E132" s="38" t="n">
        <x:f t="shared" ref="E132:E140" si="29">E$131</x:f>
        <x:v>0</x:v>
      </x:c>
      <x:c r="F132" s="39">
        <x:f t="shared" si="27"/>
        <x:v>0</x:v>
      </x:c>
      <x:c r="G132" s="40"/>
      <x:c r="H132" s="41">
        <x:f t="shared" si="28"/>
        <x:v>0</x:v>
      </x:c>
      <x:c r="I132" s="38" t="str">
        <x:v>Elektromos</x:v>
      </x:c>
      <x:c r="J132" s="42" t="s">
        <x:v>91</x:v>
      </x:c>
    </x:row>
    <x:row r="133">
      <x:c r="A133" s="36"/>
      <x:c r="B133" s="37" t="str">
        <x:v>védőcső bend (if req'd)</x:v>
      </x:c>
      <x:c r="C133" s="38" t="str">
        <x:v>db</x:v>
      </x:c>
      <x:c r="D133" s="38">
        <x:v>0.1</x:v>
      </x:c>
      <x:c r="E133" s="38">
        <x:f t="shared" si="29"/>
        <x:v>0</x:v>
      </x:c>
      <x:c r="F133" s="39">
        <x:f t="shared" si="27"/>
        <x:v>0</x:v>
      </x:c>
      <x:c r="G133" s="40"/>
      <x:c r="H133" s="41">
        <x:f t="shared" si="28"/>
        <x:v>0</x:v>
      </x:c>
      <x:c r="I133" s="38" t="str">
        <x:v>Elektromos</x:v>
      </x:c>
      <x:c r="J133" s="42"/>
    </x:row>
    <x:row r="134">
      <x:c r="A134" s="36"/>
      <x:c r="B134" s="37" t="str">
        <x:v>Warning szalag (elektromos)</x:v>
      </x:c>
      <x:c r="C134" s="38" t="str">
        <x:v>fm</x:v>
      </x:c>
      <x:c r="D134" s="38">
        <x:v>1</x:v>
      </x:c>
      <x:c r="E134" s="38">
        <x:f t="shared" si="29"/>
        <x:v>0</x:v>
      </x:c>
      <x:c r="F134" s="39">
        <x:f t="shared" si="27"/>
        <x:v>0</x:v>
      </x:c>
      <x:c r="G134" s="40"/>
      <x:c r="H134" s="41">
        <x:f t="shared" si="28"/>
        <x:v>0</x:v>
      </x:c>
      <x:c r="I134" s="38" t="str">
        <x:v>Elektromos</x:v>
      </x:c>
      <x:c r="J134" s="42" t="str">
        <x:v>Above védőcső</x:v>
      </x:c>
    </x:row>
    <x:row r="135">
      <x:c r="A135" s="36"/>
      <x:c r="B135" s="37" t="str">
        <x:v>Sand ágyazat / surround</x:v>
      </x:c>
      <x:c r="C135" s="38" t="s">
        <x:v>92</x:v>
      </x:c>
      <x:c r="D135" s="38">
        <x:v>0.05</x:v>
      </x:c>
      <x:c r="E135" s="38">
        <x:f t="shared" si="29"/>
        <x:v>0</x:v>
      </x:c>
      <x:c r="F135" s="39">
        <x:f t="shared" si="27"/>
        <x:v>0</x:v>
      </x:c>
      <x:c r="G135" s="40"/>
      <x:c r="H135" s="41">
        <x:f t="shared" si="28"/>
        <x:v>0</x:v>
      </x:c>
      <x:c r="I135" s="38" t="str">
        <x:v>Mélyépítés</x:v>
      </x:c>
      <x:c r="J135" s="42" t="s">
        <x:v>93</x:v>
      </x:c>
    </x:row>
    <x:row r="136">
      <x:c r="A136" s="36"/>
      <x:c r="B136" s="37" t="s">
        <x:v>94</x:v>
      </x:c>
      <x:c r="C136" s="38" t="str">
        <x:v>fm</x:v>
      </x:c>
      <x:c r="D136" s="38">
        <x:v>1.1000000000000001</x:v>
      </x:c>
      <x:c r="E136" s="38">
        <x:f t="shared" si="29"/>
        <x:v>0</x:v>
      </x:c>
      <x:c r="F136" s="39">
        <x:f t="shared" si="27"/>
        <x:v>0</x:v>
      </x:c>
      <x:c r="G136" s="40"/>
      <x:c r="H136" s="41">
        <x:f t="shared" si="28"/>
        <x:v>0</x:v>
      </x:c>
      <x:c r="I136" s="38" t="str">
        <x:v>Elektromos</x:v>
      </x:c>
      <x:c r="J136" s="42" t="s">
        <x:v>95</x:v>
      </x:c>
    </x:row>
    <x:row r="137">
      <x:c r="A137" s="36"/>
      <x:c r="B137" s="37" t="s">
        <x:v>96</x:v>
      </x:c>
      <x:c r="C137" s="38" t="str">
        <x:v>óra</x:v>
      </x:c>
      <x:c r="D137" s="38">
        <x:v>0.15</x:v>
      </x:c>
      <x:c r="E137" s="38">
        <x:f t="shared" si="29"/>
        <x:v>0</x:v>
      </x:c>
      <x:c r="F137" s="39">
        <x:f t="shared" si="27"/>
        <x:v>0</x:v>
      </x:c>
      <x:c r="G137" s="40"/>
      <x:c r="H137" s="41">
        <x:f t="shared" si="28"/>
        <x:v>0</x:v>
      </x:c>
      <x:c r="I137" s="38" t="str">
        <x:v>Munkaerő</x:v>
      </x:c>
      <x:c r="J137" s="42" t="s">
        <x:v>97</x:v>
      </x:c>
    </x:row>
    <x:row r="138">
      <x:c r="A138" s="36"/>
      <x:c r="B138" s="37" t="s">
        <x:v>98</x:v>
      </x:c>
      <x:c r="C138" s="38" t="str">
        <x:v>óra</x:v>
      </x:c>
      <x:c r="D138" s="38">
        <x:v>0.3</x:v>
      </x:c>
      <x:c r="E138" s="38">
        <x:f t="shared" si="29"/>
        <x:v>0</x:v>
      </x:c>
      <x:c r="F138" s="39">
        <x:f t="shared" si="27"/>
        <x:v>0</x:v>
      </x:c>
      <x:c r="G138" s="40"/>
      <x:c r="H138" s="41">
        <x:f t="shared" si="28"/>
        <x:v>0</x:v>
      </x:c>
      <x:c r="I138" s="38" t="str">
        <x:v>Munkaerő</x:v>
      </x:c>
      <x:c r="J138" s="42" t="s">
        <x:v>99</x:v>
      </x:c>
    </x:row>
    <x:row r="139">
      <x:c r="A139" s="36"/>
      <x:c r="B139" s="37" t="str">
        <x:v>kotró (trenching)</x:v>
      </x:c>
      <x:c r="C139" s="38" t="str">
        <x:v>óra</x:v>
      </x:c>
      <x:c r="D139" s="38">
        <x:v>0.1</x:v>
      </x:c>
      <x:c r="E139" s="38">
        <x:f t="shared" si="29"/>
        <x:v>0</x:v>
      </x:c>
      <x:c r="F139" s="39">
        <x:f t="shared" si="27"/>
        <x:v>0</x:v>
      </x:c>
      <x:c r="G139" s="40"/>
      <x:c r="H139" s="41">
        <x:f t="shared" si="28"/>
        <x:v>0</x:v>
      </x:c>
      <x:c r="I139" s="38" t="str">
        <x:v>Gép</x:v>
      </x:c>
      <x:c r="J139" s="42" t="s">
        <x:v>100</x:v>
      </x:c>
    </x:row>
    <x:row r="140">
      <x:c r="A140" s="36"/>
      <x:c r="B140" s="37" t="str">
        <x:v>visszatöltés &amp; tömörítés</x:v>
      </x:c>
      <x:c r="C140" s="38" t="str">
        <x:v>óra</x:v>
      </x:c>
      <x:c r="D140" s="38">
        <x:v>0.1</x:v>
      </x:c>
      <x:c r="E140" s="38">
        <x:f t="shared" si="29"/>
        <x:v>0</x:v>
      </x:c>
      <x:c r="F140" s="39">
        <x:f t="shared" si="27"/>
        <x:v>0</x:v>
      </x:c>
      <x:c r="G140" s="40"/>
      <x:c r="H140" s="41">
        <x:f t="shared" si="28"/>
        <x:v>0</x:v>
      </x:c>
      <x:c r="I140" s="38" t="str">
        <x:v>Gép</x:v>
      </x:c>
      <x:c r="J140" s="42" t="s">
        <x:v>101</x:v>
      </x:c>
    </x:row>
    <x:row r="141">
      <x:c r="A141" s="43"/>
      <x:c r="B141" s="44" t="s">
        <x:v>102</x:v>
      </x:c>
      <x:c r="C141" s="45"/>
      <x:c r="D141" s="45"/>
      <x:c r="E141" s="45"/>
      <x:c r="F141" s="45"/>
      <x:c r="G141" s="46"/>
      <x:c r="H141" s="47" t="n">
        <x:f>SUM(H131:H140)</x:f>
        <x:v>0</x:v>
      </x:c>
      <x:c r="I141" s="45"/>
      <x:c r="J141" s="48"/>
    </x:row>
    <x:row r="142">
      <x:c r="A142" s="68"/>
      <x:c r="B142" s="69"/>
      <x:c r="C142" s="49"/>
      <x:c r="D142" s="49"/>
      <x:c r="E142" s="49"/>
      <x:c r="F142" s="49"/>
      <x:c r="G142" s="50"/>
      <x:c r="H142" s="51"/>
      <x:c r="I142" s="49"/>
      <x:c r="J142" s="52" t="s">
        <x:v>103</x:v>
      </x:c>
    </x:row>
    <x:row r="143">
      <x:c r="A143" s="29" t="s">
        <x:v>34</x:v>
      </x:c>
      <x:c r="B143" s="30" t="s">
        <x:v>104</x:v>
      </x:c>
      <x:c r="C143" s="31" t="str">
        <x:v>db</x:v>
      </x:c>
      <x:c r="D143" s="31">
        <x:v>1</x:v>
      </x:c>
      <x:c r="E143" s="31" t="n">
        <x:f>'Electrical QTO'!M73</x:f>
        <x:v>0</x:v>
      </x:c>
      <x:c r="F143" s="32" t="n">
        <x:f t="shared" ref="F143:F151" si="30">D143*E143</x:f>
        <x:v>0</x:v>
      </x:c>
      <x:c r="G143" s="33"/>
      <x:c r="H143" s="34" t="n">
        <x:f t="shared" ref="H143:H151" si="31">F143*G143</x:f>
        <x:v>0</x:v>
      </x:c>
      <x:c r="I143" s="31" t="str">
        <x:v>Tűzjelző / tűzvédelem</x:v>
      </x:c>
      <x:c r="J143" s="35"/>
    </x:row>
    <x:row r="144">
      <x:c r="A144" s="36"/>
      <x:c r="B144" s="37" t="s">
        <x:v>105</x:v>
      </x:c>
      <x:c r="C144" s="38" t="str">
        <x:v>db</x:v>
      </x:c>
      <x:c r="D144" s="38">
        <x:v>1</x:v>
      </x:c>
      <x:c r="E144" s="38" t="n">
        <x:f t="shared" ref="E144:E151" si="32">E$143</x:f>
        <x:v>0</x:v>
      </x:c>
      <x:c r="F144" s="39">
        <x:f t="shared" si="30"/>
        <x:v>0</x:v>
      </x:c>
      <x:c r="G144" s="40"/>
      <x:c r="H144" s="41">
        <x:f t="shared" si="31"/>
        <x:v>0</x:v>
      </x:c>
      <x:c r="I144" s="38" t="str">
        <x:v>Tűzjelző / tűzvédelem</x:v>
      </x:c>
      <x:c r="J144" s="42" t="str">
        <x:v>Included in befúvás</x:v>
      </x:c>
    </x:row>
    <x:row r="145">
      <x:c r="A145" s="36"/>
      <x:c r="B145" s="37" t="str">
        <x:v>Fire riasztó kábel (1.5mm² 2C+E)</x:v>
      </x:c>
      <x:c r="C145" s="38" t="str">
        <x:v>fm</x:v>
      </x:c>
      <x:c r="D145" s="38">
        <x:v>15</x:v>
      </x:c>
      <x:c r="E145" s="38">
        <x:f t="shared" si="32"/>
        <x:v>0</x:v>
      </x:c>
      <x:c r="F145" s="39">
        <x:f t="shared" si="30"/>
        <x:v>0</x:v>
      </x:c>
      <x:c r="G145" s="40"/>
      <x:c r="H145" s="41">
        <x:f t="shared" si="31"/>
        <x:v>0</x:v>
      </x:c>
      <x:c r="I145" s="38" t="str">
        <x:v>Tűzjelző / tűzvédelem</x:v>
      </x:c>
      <x:c r="J145" s="42" t="str">
        <x:v>Loop wiring átlagos</x:v>
      </x:c>
    </x:row>
    <x:row r="146">
      <x:c r="A146" s="36"/>
      <x:c r="B146" s="37" t="str">
        <x:v>Fire-rated kábelrögzítők</x:v>
      </x:c>
      <x:c r="C146" s="38" t="str">
        <x:v>db</x:v>
      </x:c>
      <x:c r="D146" s="38">
        <x:v>10</x:v>
      </x:c>
      <x:c r="E146" s="38">
        <x:f t="shared" si="32"/>
        <x:v>0</x:v>
      </x:c>
      <x:c r="F146" s="39">
        <x:f t="shared" si="30"/>
        <x:v>0</x:v>
      </x:c>
      <x:c r="G146" s="40"/>
      <x:c r="H146" s="41">
        <x:f t="shared" si="31"/>
        <x:v>0</x:v>
      </x:c>
      <x:c r="I146" s="38" t="str">
        <x:v>Tűzjelző / tűzvédelem</x:v>
      </x:c>
      <x:c r="J146" s="42" t="s">
        <x:v>59</x:v>
      </x:c>
    </x:row>
    <x:row r="147">
      <x:c r="A147" s="36"/>
      <x:c r="B147" s="37" t="str">
        <x:v>kötődoboz (fire-rated)</x:v>
      </x:c>
      <x:c r="C147" s="38" t="str">
        <x:v>db</x:v>
      </x:c>
      <x:c r="D147" s="38">
        <x:v>0.5</x:v>
      </x:c>
      <x:c r="E147" s="38">
        <x:f t="shared" si="32"/>
        <x:v>0</x:v>
      </x:c>
      <x:c r="F147" s="39">
        <x:f t="shared" si="30"/>
        <x:v>0</x:v>
      </x:c>
      <x:c r="G147" s="40"/>
      <x:c r="H147" s="41">
        <x:f t="shared" si="31"/>
        <x:v>0</x:v>
      </x:c>
      <x:c r="I147" s="38" t="str">
        <x:v>Tűzjelző / tűzvédelem</x:v>
      </x:c>
      <x:c r="J147" s="42" t="s">
        <x:v>106</x:v>
      </x:c>
    </x:row>
    <x:row r="148">
      <x:c r="A148" s="36"/>
      <x:c r="B148" s="37" t="s">
        <x:v>107</x:v>
      </x:c>
      <x:c r="C148" s="38" t="str">
        <x:v>db</x:v>
      </x:c>
      <x:c r="D148" s="38">
        <x:v>0.05</x:v>
      </x:c>
      <x:c r="E148" s="38">
        <x:f t="shared" si="32"/>
        <x:v>0</x:v>
      </x:c>
      <x:c r="F148" s="39">
        <x:f t="shared" si="30"/>
        <x:v>0</x:v>
      </x:c>
      <x:c r="G148" s="40"/>
      <x:c r="H148" s="41">
        <x:f t="shared" si="31"/>
        <x:v>0</x:v>
      </x:c>
      <x:c r="I148" s="38" t="str">
        <x:v>Tűzjelző / tűzvédelem</x:v>
      </x:c>
      <x:c r="J148" s="42" t="s">
        <x:v>108</x:v>
      </x:c>
    </x:row>
    <x:row r="149">
      <x:c r="A149" s="36"/>
      <x:c r="B149" s="37" t="str">
        <x:v>Labour - fire riasztó tech szerelés</x:v>
      </x:c>
      <x:c r="C149" s="38" t="str">
        <x:v>óra</x:v>
      </x:c>
      <x:c r="D149" s="38">
        <x:v>0.4</x:v>
      </x:c>
      <x:c r="E149" s="38">
        <x:f t="shared" si="32"/>
        <x:v>0</x:v>
      </x:c>
      <x:c r="F149" s="39">
        <x:f t="shared" si="30"/>
        <x:v>0</x:v>
      </x:c>
      <x:c r="G149" s="40"/>
      <x:c r="H149" s="41">
        <x:f t="shared" si="31"/>
        <x:v>0</x:v>
      </x:c>
      <x:c r="I149" s="38" t="str">
        <x:v>Munkaerő</x:v>
      </x:c>
      <x:c r="J149" s="42"/>
    </x:row>
    <x:row r="150">
      <x:c r="A150" s="36"/>
      <x:c r="B150" s="37" t="str">
        <x:v>Labour - fire riasztó tech T&amp;C</x:v>
      </x:c>
      <x:c r="C150" s="38" t="str">
        <x:v>óra</x:v>
      </x:c>
      <x:c r="D150" s="38">
        <x:v>0.2</x:v>
      </x:c>
      <x:c r="E150" s="38">
        <x:f t="shared" si="32"/>
        <x:v>0</x:v>
      </x:c>
      <x:c r="F150" s="39">
        <x:f t="shared" si="30"/>
        <x:v>0</x:v>
      </x:c>
      <x:c r="G150" s="40"/>
      <x:c r="H150" s="41">
        <x:f t="shared" si="31"/>
        <x:v>0</x:v>
      </x:c>
      <x:c r="I150" s="38" t="str">
        <x:v>Munkaerő</x:v>
      </x:c>
      <x:c r="J150" s="42" t="s">
        <x:v>109</x:v>
      </x:c>
    </x:row>
    <x:row r="151">
      <x:c r="A151" s="36"/>
      <x:c r="B151" s="37" t="s">
        <x:v>39</x:v>
      </x:c>
      <x:c r="C151" s="38" t="str">
        <x:v>óra</x:v>
      </x:c>
      <x:c r="D151" s="38">
        <x:v>0.3</x:v>
      </x:c>
      <x:c r="E151" s="38">
        <x:f t="shared" si="32"/>
        <x:v>0</x:v>
      </x:c>
      <x:c r="F151" s="39">
        <x:f t="shared" si="30"/>
        <x:v>0</x:v>
      </x:c>
      <x:c r="G151" s="40"/>
      <x:c r="H151" s="41">
        <x:f t="shared" si="31"/>
        <x:v>0</x:v>
      </x:c>
      <x:c r="I151" s="38" t="str">
        <x:v>Gép</x:v>
      </x:c>
      <x:c r="J151" s="42"/>
    </x:row>
    <x:row r="152">
      <x:c r="A152" s="43"/>
      <x:c r="B152" s="44" t="s">
        <x:v>110</x:v>
      </x:c>
      <x:c r="C152" s="45"/>
      <x:c r="D152" s="45"/>
      <x:c r="E152" s="45"/>
      <x:c r="F152" s="45"/>
      <x:c r="G152" s="46"/>
      <x:c r="H152" s="47" t="n">
        <x:f>SUM(H143:H151)</x:f>
        <x:v>0</x:v>
      </x:c>
      <x:c r="I152" s="45"/>
      <x:c r="J152" s="48"/>
    </x:row>
    <x:row r="153">
      <x:c r="A153" s="68"/>
      <x:c r="B153" s="69"/>
      <x:c r="C153" s="49"/>
      <x:c r="D153" s="49"/>
      <x:c r="E153" s="49"/>
      <x:c r="F153" s="49"/>
      <x:c r="G153" s="50"/>
      <x:c r="H153" s="51"/>
      <x:c r="I153" s="49"/>
      <x:c r="J153" s="52" t="s">
        <x:v>111</x:v>
      </x:c>
    </x:row>
    <x:row r="154">
      <x:c r="A154" s="29" t="s">
        <x:v>34</x:v>
      </x:c>
      <x:c r="B154" s="30" t="s">
        <x:v>112</x:v>
      </x:c>
      <x:c r="C154" s="31" t="str">
        <x:v>db</x:v>
      </x:c>
      <x:c r="D154" s="31">
        <x:v>1</x:v>
      </x:c>
      <x:c r="E154" s="31" t="n">
        <x:f>'Electrical QTO'!M76</x:f>
        <x:v>0</x:v>
      </x:c>
      <x:c r="F154" s="32" t="n">
        <x:f t="shared" ref="F154:F160" si="33">D154*E154</x:f>
        <x:v>0</x:v>
      </x:c>
      <x:c r="G154" s="33"/>
      <x:c r="H154" s="34" t="n">
        <x:f t="shared" ref="H154:H160" si="34">F154*G154</x:f>
        <x:v>0</x:v>
      </x:c>
      <x:c r="I154" s="31" t="str">
        <x:v>Tűzjelző / tűzvédelem</x:v>
      </x:c>
      <x:c r="J154" s="35"/>
    </x:row>
    <x:row r="155">
      <x:c r="A155" s="36"/>
      <x:c r="B155" s="37" t="str">
        <x:v>öblítés/surface mounting box</x:v>
      </x:c>
      <x:c r="C155" s="38" t="str">
        <x:v>db</x:v>
      </x:c>
      <x:c r="D155" s="38">
        <x:v>1</x:v>
      </x:c>
      <x:c r="E155" s="38" t="n">
        <x:f t="shared" ref="E155:E160" si="35">E$154</x:f>
        <x:v>0</x:v>
      </x:c>
      <x:c r="F155" s="39">
        <x:f t="shared" si="33"/>
        <x:v>0</x:v>
      </x:c>
      <x:c r="G155" s="40"/>
      <x:c r="H155" s="41">
        <x:f t="shared" si="34"/>
        <x:v>0</x:v>
      </x:c>
      <x:c r="I155" s="38" t="str">
        <x:v>Tűzjelző / tűzvédelem</x:v>
      </x:c>
      <x:c r="J155" s="42"/>
    </x:row>
    <x:row r="156">
      <x:c r="A156" s="36"/>
      <x:c r="B156" s="37" t="str">
        <x:v>Fire riasztó kábel (1.5mm² 2C+E)</x:v>
      </x:c>
      <x:c r="C156" s="38" t="str">
        <x:v>fm</x:v>
      </x:c>
      <x:c r="D156" s="38">
        <x:v>12</x:v>
      </x:c>
      <x:c r="E156" s="38">
        <x:f t="shared" si="35"/>
        <x:v>0</x:v>
      </x:c>
      <x:c r="F156" s="39">
        <x:f t="shared" si="33"/>
        <x:v>0</x:v>
      </x:c>
      <x:c r="G156" s="40"/>
      <x:c r="H156" s="41">
        <x:f t="shared" si="34"/>
        <x:v>0</x:v>
      </x:c>
      <x:c r="I156" s="38" t="str">
        <x:v>Tűzjelző / tűzvédelem</x:v>
      </x:c>
      <x:c r="J156" s="42"/>
    </x:row>
    <x:row r="157">
      <x:c r="A157" s="36"/>
      <x:c r="B157" s="37" t="str">
        <x:v>Fire-rated kábelrögzítők</x:v>
      </x:c>
      <x:c r="C157" s="38" t="str">
        <x:v>db</x:v>
      </x:c>
      <x:c r="D157" s="38">
        <x:v>8</x:v>
      </x:c>
      <x:c r="E157" s="38">
        <x:f t="shared" si="35"/>
        <x:v>0</x:v>
      </x:c>
      <x:c r="F157" s="39">
        <x:f t="shared" si="33"/>
        <x:v>0</x:v>
      </x:c>
      <x:c r="G157" s="40"/>
      <x:c r="H157" s="41">
        <x:f t="shared" si="34"/>
        <x:v>0</x:v>
      </x:c>
      <x:c r="I157" s="38" t="str">
        <x:v>Tűzjelző / tűzvédelem</x:v>
      </x:c>
      <x:c r="J157" s="42"/>
    </x:row>
    <x:row r="158">
      <x:c r="A158" s="36"/>
      <x:c r="B158" s="37" t="str">
        <x:v>védőcső (20mm, exposed areas)</x:v>
      </x:c>
      <x:c r="C158" s="38" t="str">
        <x:v>fm</x:v>
      </x:c>
      <x:c r="D158" s="38">
        <x:v>2</x:v>
      </x:c>
      <x:c r="E158" s="38">
        <x:f t="shared" si="35"/>
        <x:v>0</x:v>
      </x:c>
      <x:c r="F158" s="39">
        <x:f t="shared" si="33"/>
        <x:v>0</x:v>
      </x:c>
      <x:c r="G158" s="40"/>
      <x:c r="H158" s="41">
        <x:f t="shared" si="34"/>
        <x:v>0</x:v>
      </x:c>
      <x:c r="I158" s="38" t="str">
        <x:v>Tűzjelző / tűzvédelem</x:v>
      </x:c>
      <x:c r="J158" s="42" t="str">
        <x:v>Where szükséges</x:v>
      </x:c>
    </x:row>
    <x:row r="159">
      <x:c r="A159" s="36"/>
      <x:c r="B159" s="37" t="str">
        <x:v>Labour - fire riasztó tech szerelés</x:v>
      </x:c>
      <x:c r="C159" s="38" t="str">
        <x:v>óra</x:v>
      </x:c>
      <x:c r="D159" s="38">
        <x:v>0.35</x:v>
      </x:c>
      <x:c r="E159" s="38">
        <x:f t="shared" si="35"/>
        <x:v>0</x:v>
      </x:c>
      <x:c r="F159" s="39">
        <x:f t="shared" si="33"/>
        <x:v>0</x:v>
      </x:c>
      <x:c r="G159" s="40"/>
      <x:c r="H159" s="41">
        <x:f t="shared" si="34"/>
        <x:v>0</x:v>
      </x:c>
      <x:c r="I159" s="38" t="str">
        <x:v>Munkaerő</x:v>
      </x:c>
      <x:c r="J159" s="42"/>
    </x:row>
    <x:row r="160">
      <x:c r="A160" s="36"/>
      <x:c r="B160" s="37" t="str">
        <x:v>Labour - fire riasztó tech T&amp;C</x:v>
      </x:c>
      <x:c r="C160" s="38" t="str">
        <x:v>óra</x:v>
      </x:c>
      <x:c r="D160" s="38">
        <x:v>0.15</x:v>
      </x:c>
      <x:c r="E160" s="38">
        <x:f t="shared" si="35"/>
        <x:v>0</x:v>
      </x:c>
      <x:c r="F160" s="39">
        <x:f t="shared" si="33"/>
        <x:v>0</x:v>
      </x:c>
      <x:c r="G160" s="40"/>
      <x:c r="H160" s="41">
        <x:f t="shared" si="34"/>
        <x:v>0</x:v>
      </x:c>
      <x:c r="I160" s="38" t="str">
        <x:v>Munkaerő</x:v>
      </x:c>
      <x:c r="J160" s="42"/>
    </x:row>
    <x:row r="161">
      <x:c r="A161" s="43"/>
      <x:c r="B161" s="44" t="s">
        <x:v>113</x:v>
      </x:c>
      <x:c r="C161" s="45"/>
      <x:c r="D161" s="45"/>
      <x:c r="E161" s="45"/>
      <x:c r="F161" s="45"/>
      <x:c r="G161" s="46"/>
      <x:c r="H161" s="47" t="n">
        <x:f>SUM(H154:H160)</x:f>
        <x:v>0</x:v>
      </x:c>
      <x:c r="I161" s="45"/>
      <x:c r="J161" s="48"/>
    </x:row>
    <x:row r="162">
      <x:c r="A162" s="68"/>
      <x:c r="B162" s="69"/>
      <x:c r="C162" s="49"/>
      <x:c r="D162" s="49"/>
      <x:c r="E162" s="49"/>
      <x:c r="F162" s="49"/>
      <x:c r="G162" s="50"/>
      <x:c r="H162" s="51"/>
      <x:c r="I162" s="49"/>
      <x:c r="J162" s="52" t="s">
        <x:v>114</x:v>
      </x:c>
    </x:row>
    <x:row r="163">
      <x:c r="A163" s="29" t="s">
        <x:v>34</x:v>
      </x:c>
      <x:c r="B163" s="30" t="str">
        <x:v>adatcsatlakozó (double) - Cat6A</x:v>
      </x:c>
      <x:c r="C163" s="31" t="str">
        <x:v>db</x:v>
      </x:c>
      <x:c r="D163" s="31">
        <x:v>1</x:v>
      </x:c>
      <x:c r="E163" s="31" t="n">
        <x:f>'Electrical QTO'!M84</x:f>
        <x:v>0</x:v>
      </x:c>
      <x:c r="F163" s="32" t="n">
        <x:f t="shared" ref="F163:F174" si="36">D163*E163</x:f>
        <x:v>0</x:v>
      </x:c>
      <x:c r="G163" s="33"/>
      <x:c r="H163" s="34" t="n">
        <x:f t="shared" ref="H163:H174" si="37">F163*G163</x:f>
        <x:v>0</x:v>
      </x:c>
      <x:c r="I163" s="31" t="str">
        <x:v>Adat / gyengeáram</x:v>
      </x:c>
      <x:c r="J163" s="35"/>
    </x:row>
    <x:row r="164">
      <x:c r="A164" s="36"/>
      <x:c r="B164" s="37" t="s">
        <x:v>115</x:v>
      </x:c>
      <x:c r="C164" s="38" t="str">
        <x:v>db</x:v>
      </x:c>
      <x:c r="D164" s="38">
        <x:v>2</x:v>
      </x:c>
      <x:c r="E164" s="38" t="n">
        <x:f t="shared" ref="E164:E174" si="38">E$163</x:f>
        <x:v>0</x:v>
      </x:c>
      <x:c r="F164" s="39">
        <x:f t="shared" si="36"/>
        <x:v>0</x:v>
      </x:c>
      <x:c r="G164" s="40"/>
      <x:c r="H164" s="41">
        <x:f t="shared" si="37"/>
        <x:v>0</x:v>
      </x:c>
      <x:c r="I164" s="38" t="str">
        <x:v>Adat / gyengeáram</x:v>
      </x:c>
      <x:c r="J164" s="42" t="s">
        <x:v>116</x:v>
      </x:c>
    </x:row>
    <x:row r="165">
      <x:c r="A165" s="36"/>
      <x:c r="B165" s="37" t="str">
        <x:v>felület plate / wall plate (kétjáratú)</x:v>
      </x:c>
      <x:c r="C165" s="38" t="str">
        <x:v>db</x:v>
      </x:c>
      <x:c r="D165" s="38">
        <x:v>1</x:v>
      </x:c>
      <x:c r="E165" s="38">
        <x:f t="shared" si="38"/>
        <x:v>0</x:v>
      </x:c>
      <x:c r="F165" s="39">
        <x:f t="shared" si="36"/>
        <x:v>0</x:v>
      </x:c>
      <x:c r="G165" s="40"/>
      <x:c r="H165" s="41">
        <x:f t="shared" si="37"/>
        <x:v>0</x:v>
      </x:c>
      <x:c r="I165" s="38" t="str">
        <x:v>Adat / gyengeáram</x:v>
      </x:c>
      <x:c r="J165" s="42"/>
    </x:row>
    <x:row r="166">
      <x:c r="A166" s="36"/>
      <x:c r="B166" s="37" t="str">
        <x:v>öblítés mounting box / pattress</x:v>
      </x:c>
      <x:c r="C166" s="38" t="str">
        <x:v>db</x:v>
      </x:c>
      <x:c r="D166" s="38">
        <x:v>1</x:v>
      </x:c>
      <x:c r="E166" s="38">
        <x:f t="shared" si="38"/>
        <x:v>0</x:v>
      </x:c>
      <x:c r="F166" s="39">
        <x:f t="shared" si="36"/>
        <x:v>0</x:v>
      </x:c>
      <x:c r="G166" s="40"/>
      <x:c r="H166" s="41">
        <x:f t="shared" si="37"/>
        <x:v>0</x:v>
      </x:c>
      <x:c r="I166" s="38" t="str">
        <x:v>Adat / gyengeáram</x:v>
      </x:c>
      <x:c r="J166" s="42"/>
    </x:row>
    <x:row r="167">
      <x:c r="A167" s="36"/>
      <x:c r="B167" s="37" t="str">
        <x:v>Cat6A kábel</x:v>
      </x:c>
      <x:c r="C167" s="38" t="str">
        <x:v>fm</x:v>
      </x:c>
      <x:c r="D167" s="38">
        <x:v>30</x:v>
      </x:c>
      <x:c r="E167" s="38">
        <x:f t="shared" si="38"/>
        <x:v>0</x:v>
      </x:c>
      <x:c r="F167" s="39">
        <x:f t="shared" si="36"/>
        <x:v>0</x:v>
      </x:c>
      <x:c r="G167" s="40"/>
      <x:c r="H167" s="41">
        <x:f t="shared" si="37"/>
        <x:v>0</x:v>
      </x:c>
      <x:c r="I167" s="38" t="str">
        <x:v>Adat / gyengeáram</x:v>
      </x:c>
      <x:c r="J167" s="42" t="str">
        <x:v>átlagos run - comms room</x:v>
      </x:c>
    </x:row>
    <x:row r="168">
      <x:c r="A168" s="36"/>
      <x:c r="B168" s="37" t="str">
        <x:v>kábel ties / velcro straps</x:v>
      </x:c>
      <x:c r="C168" s="38" t="str">
        <x:v>db</x:v>
      </x:c>
      <x:c r="D168" s="38">
        <x:v>4</x:v>
      </x:c>
      <x:c r="E168" s="38">
        <x:f t="shared" si="38"/>
        <x:v>0</x:v>
      </x:c>
      <x:c r="F168" s="39">
        <x:f t="shared" si="36"/>
        <x:v>0</x:v>
      </x:c>
      <x:c r="G168" s="40"/>
      <x:c r="H168" s="41">
        <x:f t="shared" si="37"/>
        <x:v>0</x:v>
      </x:c>
      <x:c r="I168" s="38" t="str">
        <x:v>Adat / gyengeáram</x:v>
      </x:c>
      <x:c r="J168" s="42"/>
    </x:row>
    <x:row r="169">
      <x:c r="A169" s="36"/>
      <x:c r="B169" s="37" t="s">
        <x:v>117</x:v>
      </x:c>
      <x:c r="C169" s="38" t="str">
        <x:v>db</x:v>
      </x:c>
      <x:c r="D169" s="38">
        <x:v>2</x:v>
      </x:c>
      <x:c r="E169" s="38">
        <x:f t="shared" si="38"/>
        <x:v>0</x:v>
      </x:c>
      <x:c r="F169" s="39">
        <x:f t="shared" si="36"/>
        <x:v>0</x:v>
      </x:c>
      <x:c r="G169" s="40"/>
      <x:c r="H169" s="41">
        <x:f t="shared" si="37"/>
        <x:v>0</x:v>
      </x:c>
      <x:c r="I169" s="38" t="str">
        <x:v>Adat / gyengeáram</x:v>
      </x:c>
      <x:c r="J169" s="42"/>
    </x:row>
    <x:row r="170">
      <x:c r="A170" s="36"/>
      <x:c r="B170" s="37" t="s">
        <x:v>118</x:v>
      </x:c>
      <x:c r="C170" s="38" t="str">
        <x:v>db</x:v>
      </x:c>
      <x:c r="D170" s="38">
        <x:v>2</x:v>
      </x:c>
      <x:c r="E170" s="38">
        <x:f t="shared" si="38"/>
        <x:v>0</x:v>
      </x:c>
      <x:c r="F170" s="39">
        <x:f t="shared" si="36"/>
        <x:v>0</x:v>
      </x:c>
      <x:c r="G170" s="40"/>
      <x:c r="H170" s="41">
        <x:f t="shared" si="37"/>
        <x:v>0</x:v>
      </x:c>
      <x:c r="I170" s="38" t="str">
        <x:v>Adat / gyengeáram</x:v>
      </x:c>
      <x:c r="J170" s="42" t="s">
        <x:v>119</x:v>
      </x:c>
    </x:row>
    <x:row r="171">
      <x:c r="A171" s="36"/>
      <x:c r="B171" s="37" t="str">
        <x:v>kábel labels / identification</x:v>
      </x:c>
      <x:c r="C171" s="38" t="str">
        <x:v>db</x:v>
      </x:c>
      <x:c r="D171" s="38">
        <x:v>4</x:v>
      </x:c>
      <x:c r="E171" s="38">
        <x:f t="shared" si="38"/>
        <x:v>0</x:v>
      </x:c>
      <x:c r="F171" s="39">
        <x:f t="shared" si="36"/>
        <x:v>0</x:v>
      </x:c>
      <x:c r="G171" s="40"/>
      <x:c r="H171" s="41">
        <x:f t="shared" si="37"/>
        <x:v>0</x:v>
      </x:c>
      <x:c r="I171" s="38" t="str">
        <x:v>Adat / gyengeáram</x:v>
      </x:c>
      <x:c r="J171" s="42" t="s">
        <x:v>120</x:v>
      </x:c>
    </x:row>
    <x:row r="172">
      <x:c r="A172" s="36"/>
      <x:c r="B172" s="37" t="str">
        <x:v>Labour - data tech szerelés</x:v>
      </x:c>
      <x:c r="C172" s="38" t="str">
        <x:v>óra</x:v>
      </x:c>
      <x:c r="D172" s="38">
        <x:v>0.5</x:v>
      </x:c>
      <x:c r="E172" s="38">
        <x:f t="shared" si="38"/>
        <x:v>0</x:v>
      </x:c>
      <x:c r="F172" s="39">
        <x:f t="shared" si="36"/>
        <x:v>0</x:v>
      </x:c>
      <x:c r="G172" s="40"/>
      <x:c r="H172" s="41">
        <x:f t="shared" si="37"/>
        <x:v>0</x:v>
      </x:c>
      <x:c r="I172" s="38" t="str">
        <x:v>Munkaerő</x:v>
      </x:c>
      <x:c r="J172" s="42" t="s">
        <x:v>121</x:v>
      </x:c>
    </x:row>
    <x:row r="173">
      <x:c r="A173" s="36"/>
      <x:c r="B173" s="37" t="s">
        <x:v>122</x:v>
      </x:c>
      <x:c r="C173" s="38" t="str">
        <x:v>óra</x:v>
      </x:c>
      <x:c r="D173" s="38">
        <x:v>0.2</x:v>
      </x:c>
      <x:c r="E173" s="38">
        <x:f t="shared" si="38"/>
        <x:v>0</x:v>
      </x:c>
      <x:c r="F173" s="39">
        <x:f t="shared" si="36"/>
        <x:v>0</x:v>
      </x:c>
      <x:c r="G173" s="40"/>
      <x:c r="H173" s="41">
        <x:f t="shared" si="37"/>
        <x:v>0</x:v>
      </x:c>
      <x:c r="I173" s="38" t="str">
        <x:v>Munkaerő</x:v>
      </x:c>
      <x:c r="J173" s="42" t="s">
        <x:v>123</x:v>
      </x:c>
    </x:row>
    <x:row r="174">
      <x:c r="A174" s="36"/>
      <x:c r="B174" s="37" t="str">
        <x:v>Scissor lift (if mennyezet void)</x:v>
      </x:c>
      <x:c r="C174" s="38" t="str">
        <x:v>óra</x:v>
      </x:c>
      <x:c r="D174" s="38">
        <x:v>0.2</x:v>
      </x:c>
      <x:c r="E174" s="38">
        <x:f t="shared" si="38"/>
        <x:v>0</x:v>
      </x:c>
      <x:c r="F174" s="39">
        <x:f t="shared" si="36"/>
        <x:v>0</x:v>
      </x:c>
      <x:c r="G174" s="40"/>
      <x:c r="H174" s="41">
        <x:f t="shared" si="37"/>
        <x:v>0</x:v>
      </x:c>
      <x:c r="I174" s="38" t="str">
        <x:v>Gép</x:v>
      </x:c>
      <x:c r="J174" s="42"/>
    </x:row>
    <x:row r="175">
      <x:c r="A175" s="43"/>
      <x:c r="B175" s="44" t="s">
        <x:v>124</x:v>
      </x:c>
      <x:c r="C175" s="45"/>
      <x:c r="D175" s="45"/>
      <x:c r="E175" s="45"/>
      <x:c r="F175" s="45"/>
      <x:c r="G175" s="46"/>
      <x:c r="H175" s="47" t="n">
        <x:f>SUM(H163:H174)</x:f>
        <x:v>0</x:v>
      </x:c>
      <x:c r="I175" s="45"/>
      <x:c r="J175" s="48"/>
    </x:row>
    <x:row r="176">
      <x:c r="A176" s="68"/>
      <x:c r="B176" s="69"/>
      <x:c r="C176" s="49"/>
      <x:c r="D176" s="49"/>
      <x:c r="E176" s="49"/>
      <x:c r="F176" s="49"/>
      <x:c r="G176" s="50"/>
      <x:c r="H176" s="51"/>
      <x:c r="I176" s="49"/>
      <x:c r="J176" s="52" t="s">
        <x:v>125</x:v>
      </x:c>
    </x:row>
    <x:row r="177">
      <x:c r="A177" s="29" t="s">
        <x:v>34</x:v>
      </x:c>
      <x:c r="B177" s="30" t="str">
        <x:v>Final alelosztó (2négyirányú)</x:v>
      </x:c>
      <x:c r="C177" s="31" t="str">
        <x:v>db</x:v>
      </x:c>
      <x:c r="D177" s="31">
        <x:v>1</x:v>
      </x:c>
      <x:c r="E177" s="31" t="n">
        <x:f>'Electrical QTO'!M56</x:f>
        <x:v>0</x:v>
      </x:c>
      <x:c r="F177" s="32" t="n">
        <x:f t="shared" ref="F177:F191" si="39">D177*E177</x:f>
        <x:v>0</x:v>
      </x:c>
      <x:c r="G177" s="33"/>
      <x:c r="H177" s="34" t="n">
        <x:f t="shared" ref="H177:H191" si="40">F177*G177</x:f>
        <x:v>0</x:v>
      </x:c>
      <x:c r="I177" s="31" t="str">
        <x:v>Elektromos</x:v>
      </x:c>
      <x:c r="J177" s="35"/>
    </x:row>
    <x:row r="178">
      <x:c r="A178" s="36"/>
      <x:c r="B178" s="37" t="str">
        <x:v>DB burkolat / szekrény / chassis</x:v>
      </x:c>
      <x:c r="C178" s="38" t="str">
        <x:v>db</x:v>
      </x:c>
      <x:c r="D178" s="38">
        <x:v>1</x:v>
      </x:c>
      <x:c r="E178" s="38" t="n">
        <x:f t="shared" ref="E178:E191" si="41">E$177</x:f>
        <x:v>0</x:v>
      </x:c>
      <x:c r="F178" s="39">
        <x:f t="shared" si="39"/>
        <x:v>0</x:v>
      </x:c>
      <x:c r="G178" s="40"/>
      <x:c r="H178" s="41">
        <x:f t="shared" si="40"/>
        <x:v>0</x:v>
      </x:c>
      <x:c r="I178" s="38" t="str">
        <x:v>Elektromos</x:v>
      </x:c>
      <x:c r="J178" s="42" t="str">
        <x:v>Included in befúvás</x:v>
      </x:c>
    </x:row>
    <x:row r="179">
      <x:c r="A179" s="36"/>
      <x:c r="B179" s="37" t="s">
        <x:v>126</x:v>
      </x:c>
      <x:c r="C179" s="38" t="str">
        <x:v>db</x:v>
      </x:c>
      <x:c r="D179" s="38">
        <x:v>1</x:v>
      </x:c>
      <x:c r="E179" s="38">
        <x:f t="shared" si="41"/>
        <x:v>0</x:v>
      </x:c>
      <x:c r="F179" s="39">
        <x:f t="shared" si="39"/>
        <x:v>0</x:v>
      </x:c>
      <x:c r="G179" s="40"/>
      <x:c r="H179" s="41">
        <x:f t="shared" si="40"/>
        <x:v>0</x:v>
      </x:c>
      <x:c r="I179" s="38" t="str">
        <x:v>Elektromos</x:v>
      </x:c>
      <x:c r="J179" s="42"/>
    </x:row>
    <x:row r="180">
      <x:c r="A180" s="36"/>
      <x:c r="B180" s="37" t="str">
        <x:v>MCBs (átlagos feltöltés 16 ways)</x:v>
      </x:c>
      <x:c r="C180" s="38" t="str">
        <x:v>db</x:v>
      </x:c>
      <x:c r="D180" s="38">
        <x:v>16</x:v>
      </x:c>
      <x:c r="E180" s="38">
        <x:f t="shared" si="41"/>
        <x:v>0</x:v>
      </x:c>
      <x:c r="F180" s="39">
        <x:f t="shared" si="39"/>
        <x:v>0</x:v>
      </x:c>
      <x:c r="G180" s="40"/>
      <x:c r="H180" s="41">
        <x:f t="shared" si="40"/>
        <x:v>0</x:v>
      </x:c>
      <x:c r="I180" s="38" t="str">
        <x:v>Elektromos</x:v>
      </x:c>
      <x:c r="J180" s="42" t="s">
        <x:v>127</x:v>
      </x:c>
    </x:row>
    <x:row r="181">
      <x:c r="A181" s="36"/>
      <x:c r="B181" s="37" t="s">
        <x:v>128</x:v>
      </x:c>
      <x:c r="C181" s="38" t="str">
        <x:v>db</x:v>
      </x:c>
      <x:c r="D181" s="38">
        <x:v>4</x:v>
      </x:c>
      <x:c r="E181" s="38">
        <x:f t="shared" si="41"/>
        <x:v>0</x:v>
      </x:c>
      <x:c r="F181" s="39">
        <x:f t="shared" si="39"/>
        <x:v>0</x:v>
      </x:c>
      <x:c r="G181" s="40"/>
      <x:c r="H181" s="41">
        <x:f t="shared" si="40"/>
        <x:v>0</x:v>
      </x:c>
      <x:c r="I181" s="38" t="str">
        <x:v>Elektromos</x:v>
      </x:c>
      <x:c r="J181" s="42"/>
    </x:row>
    <x:row r="182">
      <x:c r="A182" s="36"/>
      <x:c r="B182" s="37" t="s">
        <x:v>129</x:v>
      </x:c>
      <x:c r="C182" s="38" t="str">
        <x:v>db</x:v>
      </x:c>
      <x:c r="D182" s="38">
        <x:v>1</x:v>
      </x:c>
      <x:c r="E182" s="38">
        <x:f t="shared" si="41"/>
        <x:v>0</x:v>
      </x:c>
      <x:c r="F182" s="39">
        <x:f t="shared" si="39"/>
        <x:v>0</x:v>
      </x:c>
      <x:c r="G182" s="40"/>
      <x:c r="H182" s="41">
        <x:f t="shared" si="40"/>
        <x:v>0</x:v>
      </x:c>
      <x:c r="I182" s="38" t="str">
        <x:v>Elektromos</x:v>
      </x:c>
      <x:c r="J182" s="42" t="s">
        <x:v>130</x:v>
      </x:c>
    </x:row>
    <x:row r="183">
      <x:c r="A183" s="36"/>
      <x:c r="B183" s="37" t="str">
        <x:v>Sub-main kábel (16mm² 4C+E)</x:v>
      </x:c>
      <x:c r="C183" s="38" t="str">
        <x:v>fm</x:v>
      </x:c>
      <x:c r="D183" s="38">
        <x:v>25</x:v>
      </x:c>
      <x:c r="E183" s="38">
        <x:f t="shared" si="41"/>
        <x:v>0</x:v>
      </x:c>
      <x:c r="F183" s="39">
        <x:f t="shared" si="39"/>
        <x:v>0</x:v>
      </x:c>
      <x:c r="G183" s="40"/>
      <x:c r="H183" s="41">
        <x:f t="shared" si="40"/>
        <x:v>0</x:v>
      </x:c>
      <x:c r="I183" s="38" t="str">
        <x:v>Elektromos</x:v>
      </x:c>
      <x:c r="J183" s="42" t="str">
        <x:v>átlagos run from SMDB</x:v>
      </x:c>
    </x:row>
    <x:row r="184">
      <x:c r="A184" s="36"/>
      <x:c r="B184" s="37" t="str">
        <x:v>kábel gland (sub-main)</x:v>
      </x:c>
      <x:c r="C184" s="38" t="str">
        <x:v>db</x:v>
      </x:c>
      <x:c r="D184" s="38">
        <x:v>2</x:v>
      </x:c>
      <x:c r="E184" s="38">
        <x:f t="shared" si="41"/>
        <x:v>0</x:v>
      </x:c>
      <x:c r="F184" s="39">
        <x:f t="shared" si="39"/>
        <x:v>0</x:v>
      </x:c>
      <x:c r="G184" s="40"/>
      <x:c r="H184" s="41">
        <x:f t="shared" si="40"/>
        <x:v>0</x:v>
      </x:c>
      <x:c r="I184" s="38" t="str">
        <x:v>Elektromos</x:v>
      </x:c>
      <x:c r="J184" s="42" t="s">
        <x:v>131</x:v>
      </x:c>
    </x:row>
    <x:row r="185">
      <x:c r="A185" s="36"/>
      <x:c r="B185" s="37" t="s">
        <x:v>132</x:v>
      </x:c>
      <x:c r="C185" s="38" t="str">
        <x:v>db</x:v>
      </x:c>
      <x:c r="D185" s="38">
        <x:v>1</x:v>
      </x:c>
      <x:c r="E185" s="38">
        <x:f t="shared" si="41"/>
        <x:v>0</x:v>
      </x:c>
      <x:c r="F185" s="39">
        <x:f t="shared" si="39"/>
        <x:v>0</x:v>
      </x:c>
      <x:c r="G185" s="40"/>
      <x:c r="H185" s="41">
        <x:f t="shared" si="40"/>
        <x:v>0</x:v>
      </x:c>
      <x:c r="I185" s="38" t="str">
        <x:v>Elektromos</x:v>
      </x:c>
      <x:c r="J185" s="42"/>
    </x:row>
    <x:row r="186">
      <x:c r="A186" s="36"/>
      <x:c r="B186" s="37" t="s">
        <x:v>133</x:v>
      </x:c>
      <x:c r="C186" s="38" t="str">
        <x:v>db</x:v>
      </x:c>
      <x:c r="D186" s="38">
        <x:v>1</x:v>
      </x:c>
      <x:c r="E186" s="38">
        <x:f t="shared" si="41"/>
        <x:v>0</x:v>
      </x:c>
      <x:c r="F186" s="39">
        <x:f t="shared" si="39"/>
        <x:v>0</x:v>
      </x:c>
      <x:c r="G186" s="40"/>
      <x:c r="H186" s="41">
        <x:f t="shared" si="40"/>
        <x:v>0</x:v>
      </x:c>
      <x:c r="I186" s="38" t="str">
        <x:v>Elektromos</x:v>
      </x:c>
      <x:c r="J186" s="42" t="s">
        <x:v>134</x:v>
      </x:c>
    </x:row>
    <x:row r="187">
      <x:c r="A187" s="36"/>
      <x:c r="B187" s="37" t="str">
        <x:v>Mounting tok / keret / unistrut</x:v>
      </x:c>
      <x:c r="C187" s="38" t="str">
        <x:v>fm</x:v>
      </x:c>
      <x:c r="D187" s="38">
        <x:v>1.5</x:v>
      </x:c>
      <x:c r="E187" s="38">
        <x:f t="shared" si="41"/>
        <x:v>0</x:v>
      </x:c>
      <x:c r="F187" s="39">
        <x:f t="shared" si="39"/>
        <x:v>0</x:v>
      </x:c>
      <x:c r="G187" s="40"/>
      <x:c r="H187" s="41">
        <x:f t="shared" si="40"/>
        <x:v>0</x:v>
      </x:c>
      <x:c r="I187" s="38" t="str">
        <x:v>Elektromos</x:v>
      </x:c>
      <x:c r="J187" s="42"/>
    </x:row>
    <x:row r="188">
      <x:c r="A188" s="36"/>
      <x:c r="B188" s="37" t="str">
        <x:v>Concrete anchors / rögzítőelemek</x:v>
      </x:c>
      <x:c r="C188" s="38" t="str">
        <x:v>db</x:v>
      </x:c>
      <x:c r="D188" s="38">
        <x:v>4</x:v>
      </x:c>
      <x:c r="E188" s="38">
        <x:f t="shared" si="41"/>
        <x:v>0</x:v>
      </x:c>
      <x:c r="F188" s="39">
        <x:f t="shared" si="39"/>
        <x:v>0</x:v>
      </x:c>
      <x:c r="G188" s="40"/>
      <x:c r="H188" s="41">
        <x:f t="shared" si="40"/>
        <x:v>0</x:v>
      </x:c>
      <x:c r="I188" s="38" t="str">
        <x:v>Elektromos</x:v>
      </x:c>
      <x:c r="J188" s="42"/>
    </x:row>
    <x:row r="189">
      <x:c r="A189" s="36"/>
      <x:c r="B189" s="37" t="str">
        <x:v>Labour - electrician szerelés</x:v>
      </x:c>
      <x:c r="C189" s="38" t="str">
        <x:v>óra</x:v>
      </x:c>
      <x:c r="D189" s="38">
        <x:v>4</x:v>
      </x:c>
      <x:c r="E189" s="38">
        <x:f t="shared" si="41"/>
        <x:v>0</x:v>
      </x:c>
      <x:c r="F189" s="39">
        <x:f t="shared" si="39"/>
        <x:v>0</x:v>
      </x:c>
      <x:c r="G189" s="40"/>
      <x:c r="H189" s="41">
        <x:f t="shared" si="40"/>
        <x:v>0</x:v>
      </x:c>
      <x:c r="I189" s="38" t="str">
        <x:v>Munkaerő</x:v>
      </x:c>
      <x:c r="J189" s="42" t="s">
        <x:v>135</x:v>
      </x:c>
    </x:row>
    <x:row r="190">
      <x:c r="A190" s="36"/>
      <x:c r="B190" s="37" t="s">
        <x:v>36</x:v>
      </x:c>
      <x:c r="C190" s="38" t="str">
        <x:v>óra</x:v>
      </x:c>
      <x:c r="D190" s="38">
        <x:v>3</x:v>
      </x:c>
      <x:c r="E190" s="38">
        <x:f t="shared" si="41"/>
        <x:v>0</x:v>
      </x:c>
      <x:c r="F190" s="39">
        <x:f t="shared" si="39"/>
        <x:v>0</x:v>
      </x:c>
      <x:c r="G190" s="40"/>
      <x:c r="H190" s="41">
        <x:f t="shared" si="40"/>
        <x:v>0</x:v>
      </x:c>
      <x:c r="I190" s="38" t="str">
        <x:v>Munkaerő</x:v>
      </x:c>
      <x:c r="J190" s="42" t="s">
        <x:v>136</x:v>
      </x:c>
    </x:row>
    <x:row r="191">
      <x:c r="A191" s="36"/>
      <x:c r="B191" s="37" t="s">
        <x:v>137</x:v>
      </x:c>
      <x:c r="C191" s="38" t="str">
        <x:v>óra</x:v>
      </x:c>
      <x:c r="D191" s="38">
        <x:v>1</x:v>
      </x:c>
      <x:c r="E191" s="38">
        <x:f t="shared" si="41"/>
        <x:v>0</x:v>
      </x:c>
      <x:c r="F191" s="39">
        <x:f t="shared" si="39"/>
        <x:v>0</x:v>
      </x:c>
      <x:c r="G191" s="40"/>
      <x:c r="H191" s="41">
        <x:f t="shared" si="40"/>
        <x:v>0</x:v>
      </x:c>
      <x:c r="I191" s="38" t="str">
        <x:v>Gép</x:v>
      </x:c>
      <x:c r="J191" s="42"/>
    </x:row>
    <x:row r="192">
      <x:c r="A192" s="43"/>
      <x:c r="B192" s="44" t="s">
        <x:v>138</x:v>
      </x:c>
      <x:c r="C192" s="45"/>
      <x:c r="D192" s="45"/>
      <x:c r="E192" s="45"/>
      <x:c r="F192" s="45"/>
      <x:c r="G192" s="46"/>
      <x:c r="H192" s="47" t="n">
        <x:f>SUM(H177:H191)</x:f>
        <x:v>0</x:v>
      </x:c>
      <x:c r="I192" s="45"/>
      <x:c r="J192" s="48"/>
    </x:row>
    <x:row r="193">
      <x:c r="A193" s="68"/>
      <x:c r="B193" s="69"/>
      <x:c r="C193" s="49"/>
      <x:c r="D193" s="49"/>
      <x:c r="E193" s="49"/>
      <x:c r="F193" s="49"/>
      <x:c r="G193" s="50"/>
      <x:c r="H193" s="51"/>
      <x:c r="I193" s="49"/>
      <x:c r="J193" s="52" t="s">
        <x:v>139</x:v>
      </x:c>
    </x:row>
    <x:row r="194">
      <x:c r="A194" s="29" t="s">
        <x:v>34</x:v>
      </x:c>
      <x:c r="B194" s="30" t="s">
        <x:v>140</x:v>
      </x:c>
      <x:c r="C194" s="31" t="str">
        <x:v>db</x:v>
      </x:c>
      <x:c r="D194" s="31">
        <x:v>1</x:v>
      </x:c>
      <x:c r="E194" s="31" t="n">
        <x:f>'Electrical QTO'!M88</x:f>
        <x:v>0</x:v>
      </x:c>
      <x:c r="F194" s="32" t="n">
        <x:f t="shared" ref="F194:F203" si="42">D194*E194</x:f>
        <x:v>0</x:v>
      </x:c>
      <x:c r="G194" s="33"/>
      <x:c r="H194" s="34" t="n">
        <x:f t="shared" ref="H194:H203" si="43">F194*G194</x:f>
        <x:v>0</x:v>
      </x:c>
      <x:c r="I194" s="31" t="s">
        <x:v>141</x:v>
      </x:c>
      <x:c r="J194" s="35"/>
    </x:row>
    <x:row r="195">
      <x:c r="A195" s="36"/>
      <x:c r="B195" s="37" t="str">
        <x:v>Camera rögzítő konzol / arm</x:v>
      </x:c>
      <x:c r="C195" s="38" t="str">
        <x:v>db</x:v>
      </x:c>
      <x:c r="D195" s="38">
        <x:v>1</x:v>
      </x:c>
      <x:c r="E195" s="38" t="n">
        <x:f t="shared" ref="E195:E203" si="44">E$194</x:f>
        <x:v>0</x:v>
      </x:c>
      <x:c r="F195" s="39">
        <x:f t="shared" si="42"/>
        <x:v>0</x:v>
      </x:c>
      <x:c r="G195" s="40"/>
      <x:c r="H195" s="41">
        <x:f t="shared" si="43"/>
        <x:v>0</x:v>
      </x:c>
      <x:c r="I195" s="38" t="s">
        <x:v>141</x:v>
      </x:c>
      <x:c r="J195" s="42"/>
    </x:row>
    <x:row r="196">
      <x:c r="A196" s="36"/>
      <x:c r="B196" s="37" t="str">
        <x:v>kötődoboz (weatherproof if ext)</x:v>
      </x:c>
      <x:c r="C196" s="38" t="str">
        <x:v>db</x:v>
      </x:c>
      <x:c r="D196" s="38">
        <x:v>1</x:v>
      </x:c>
      <x:c r="E196" s="38">
        <x:f t="shared" si="44"/>
        <x:v>0</x:v>
      </x:c>
      <x:c r="F196" s="39">
        <x:f t="shared" si="42"/>
        <x:v>0</x:v>
      </x:c>
      <x:c r="G196" s="40"/>
      <x:c r="H196" s="41">
        <x:f t="shared" si="43"/>
        <x:v>0</x:v>
      </x:c>
      <x:c r="I196" s="38" t="s">
        <x:v>141</x:v>
      </x:c>
      <x:c r="J196" s="42"/>
    </x:row>
    <x:row r="197">
      <x:c r="A197" s="36"/>
      <x:c r="B197" s="37" t="str">
        <x:v>Cat6 kábel (- switch/NVR)</x:v>
      </x:c>
      <x:c r="C197" s="38" t="str">
        <x:v>fm</x:v>
      </x:c>
      <x:c r="D197" s="38">
        <x:v>40</x:v>
      </x:c>
      <x:c r="E197" s="38">
        <x:f t="shared" si="44"/>
        <x:v>0</x:v>
      </x:c>
      <x:c r="F197" s="39">
        <x:f t="shared" si="42"/>
        <x:v>0</x:v>
      </x:c>
      <x:c r="G197" s="40"/>
      <x:c r="H197" s="41">
        <x:f t="shared" si="43"/>
        <x:v>0</x:v>
      </x:c>
      <x:c r="I197" s="38" t="s">
        <x:v>141</x:v>
      </x:c>
      <x:c r="J197" s="42" t="str">
        <x:v>átlagos run</x:v>
      </x:c>
    </x:row>
    <x:row r="198">
      <x:c r="A198" s="36"/>
      <x:c r="B198" s="37" t="str">
        <x:v>kábel ties / rögzítőelemek</x:v>
      </x:c>
      <x:c r="C198" s="38" t="str">
        <x:v>db</x:v>
      </x:c>
      <x:c r="D198" s="38">
        <x:v>10</x:v>
      </x:c>
      <x:c r="E198" s="38">
        <x:f t="shared" si="44"/>
        <x:v>0</x:v>
      </x:c>
      <x:c r="F198" s="39">
        <x:f t="shared" si="42"/>
        <x:v>0</x:v>
      </x:c>
      <x:c r="G198" s="40"/>
      <x:c r="H198" s="41">
        <x:f t="shared" si="43"/>
        <x:v>0</x:v>
      </x:c>
      <x:c r="I198" s="38" t="s">
        <x:v>141</x:v>
      </x:c>
      <x:c r="J198" s="42"/>
    </x:row>
    <x:row r="199">
      <x:c r="A199" s="36"/>
      <x:c r="B199" s="37" t="s">
        <x:v>142</x:v>
      </x:c>
      <x:c r="C199" s="38" t="str">
        <x:v>db</x:v>
      </x:c>
      <x:c r="D199" s="38">
        <x:v>1</x:v>
      </x:c>
      <x:c r="E199" s="38">
        <x:f t="shared" si="44"/>
        <x:v>0</x:v>
      </x:c>
      <x:c r="F199" s="39">
        <x:f t="shared" si="42"/>
        <x:v>0</x:v>
      </x:c>
      <x:c r="G199" s="40"/>
      <x:c r="H199" s="41">
        <x:f t="shared" si="43"/>
        <x:v>0</x:v>
      </x:c>
      <x:c r="I199" s="38" t="s">
        <x:v>141</x:v>
      </x:c>
      <x:c r="J199" s="42"/>
    </x:row>
    <x:row r="200">
      <x:c r="A200" s="36"/>
      <x:c r="B200" s="37" t="str">
        <x:v>NVR raktár allocation (share of)</x:v>
      </x:c>
      <x:c r="C200" s="38" t="str">
        <x:v>db</x:v>
      </x:c>
      <x:c r="D200" s="38">
        <x:v>0.05</x:v>
      </x:c>
      <x:c r="E200" s="38">
        <x:f t="shared" si="44"/>
        <x:v>0</x:v>
      </x:c>
      <x:c r="F200" s="39">
        <x:f t="shared" si="42"/>
        <x:v>0</x:v>
      </x:c>
      <x:c r="G200" s="40"/>
      <x:c r="H200" s="41">
        <x:f t="shared" si="43"/>
        <x:v>0</x:v>
      </x:c>
      <x:c r="I200" s="38" t="s">
        <x:v>141</x:v>
      </x:c>
      <x:c r="J200" s="42" t="s">
        <x:v>143</x:v>
      </x:c>
    </x:row>
    <x:row r="201">
      <x:c r="A201" s="36"/>
      <x:c r="B201" s="37" t="str">
        <x:v>Labour - security tech szerelés</x:v>
      </x:c>
      <x:c r="C201" s="38" t="str">
        <x:v>óra</x:v>
      </x:c>
      <x:c r="D201" s="38">
        <x:v>0.75</x:v>
      </x:c>
      <x:c r="E201" s="38">
        <x:f t="shared" si="44"/>
        <x:v>0</x:v>
      </x:c>
      <x:c r="F201" s="39">
        <x:f t="shared" si="42"/>
        <x:v>0</x:v>
      </x:c>
      <x:c r="G201" s="40"/>
      <x:c r="H201" s="41">
        <x:f t="shared" si="43"/>
        <x:v>0</x:v>
      </x:c>
      <x:c r="I201" s="38" t="str">
        <x:v>Munkaerő</x:v>
      </x:c>
      <x:c r="J201" s="42"/>
    </x:row>
    <x:row r="202">
      <x:c r="A202" s="36"/>
      <x:c r="B202" s="37" t="s">
        <x:v>144</x:v>
      </x:c>
      <x:c r="C202" s="38" t="str">
        <x:v>óra</x:v>
      </x:c>
      <x:c r="D202" s="38">
        <x:v>0.3</x:v>
      </x:c>
      <x:c r="E202" s="38">
        <x:f t="shared" si="44"/>
        <x:v>0</x:v>
      </x:c>
      <x:c r="F202" s="39">
        <x:f t="shared" si="42"/>
        <x:v>0</x:v>
      </x:c>
      <x:c r="G202" s="40"/>
      <x:c r="H202" s="41">
        <x:f t="shared" si="43"/>
        <x:v>0</x:v>
      </x:c>
      <x:c r="I202" s="38" t="str">
        <x:v>Munkaerő</x:v>
      </x:c>
      <x:c r="J202" s="42" t="s">
        <x:v>145</x:v>
      </x:c>
    </x:row>
    <x:row r="203">
      <x:c r="A203" s="36"/>
      <x:c r="B203" s="37" t="s">
        <x:v>86</x:v>
      </x:c>
      <x:c r="C203" s="38" t="str">
        <x:v>óra</x:v>
      </x:c>
      <x:c r="D203" s="38">
        <x:v>0.5</x:v>
      </x:c>
      <x:c r="E203" s="38">
        <x:f t="shared" si="44"/>
        <x:v>0</x:v>
      </x:c>
      <x:c r="F203" s="39">
        <x:f t="shared" si="42"/>
        <x:v>0</x:v>
      </x:c>
      <x:c r="G203" s="40"/>
      <x:c r="H203" s="41">
        <x:f t="shared" si="43"/>
        <x:v>0</x:v>
      </x:c>
      <x:c r="I203" s="38" t="str">
        <x:v>Gép</x:v>
      </x:c>
      <x:c r="J203" s="42"/>
    </x:row>
    <x:row r="204">
      <x:c r="A204" s="53"/>
      <x:c r="B204" s="54" t="s">
        <x:v>146</x:v>
      </x:c>
      <x:c r="C204" s="55"/>
      <x:c r="D204" s="55"/>
      <x:c r="E204" s="55"/>
      <x:c r="F204" s="55"/>
      <x:c r="G204" s="56"/>
      <x:c r="H204" s="57" t="n">
        <x:f>SUM(H194:H203)</x:f>
        <x:v>0</x:v>
      </x:c>
      <x:c r="I204" s="55"/>
      <x:c r="J204" s="58"/>
    </x:row>
    <x:row r="207" ht="16.899999618530273">
      <x:c r="A207" s="70" t="s">
        <x:v>147</x:v>
      </x:c>
      <x:c r="B207" s="67"/>
      <x:c r="C207" s="67"/>
      <x:c r="D207" s="67"/>
      <x:c r="E207" s="67"/>
      <x:c r="F207" s="67"/>
      <x:c r="G207" s="67"/>
      <x:c r="H207" s="67"/>
      <x:c r="I207" s="67"/>
      <x:c r="J207" s="67"/>
    </x:row>
    <x:row r="208">
      <x:c r="A208" s="59" t="s">
        <x:v>148</x:v>
      </x:c>
      <x:c r="B208" s="59" t="str">
        <x:v>Megnevezés / műszaki leírás</x:v>
      </x:c>
      <x:c r="C208" s="59" t="s">
        <x:v>149</x:v>
      </x:c>
    </x:row>
    <x:row r="209">
      <x:c r="A209" s="61">
        <x:v>1</x:v>
      </x:c>
      <x:c r="B209" s="60" t="str">
        <x:v>LED panel lámpatest (600x600)</x:v>
      </x:c>
      <x:c r="C209" s="62" t="n">
        <x:f>H20</x:f>
        <x:v>0</x:v>
      </x:c>
    </x:row>
    <x:row r="210">
      <x:c r="A210" s="13">
        <x:v>2</x:v>
      </x:c>
      <x:c r="B210" s="14" t="s">
        <x:v>150</x:v>
      </x:c>
      <x:c r="C210" s="63" t="n">
        <x:f>H34</x:f>
        <x:v>0</x:v>
      </x:c>
    </x:row>
    <x:row r="211">
      <x:c r="A211" s="13">
        <x:v>3</x:v>
      </x:c>
      <x:c r="B211" s="14" t="str">
        <x:v>LED lécváz / Linear</x:v>
      </x:c>
      <x:c r="C211" s="63" t="n">
        <x:f>H48</x:f>
        <x:v>0</x:v>
      </x:c>
    </x:row>
    <x:row r="212">
      <x:c r="A212" s="13">
        <x:v>4</x:v>
      </x:c>
      <x:c r="B212" s="14" t="str">
        <x:v>magas Bay Luminaire</x:v>
      </x:c>
      <x:c r="C212" s="63" t="n">
        <x:f>H64</x:f>
        <x:v>0</x:v>
      </x:c>
    </x:row>
    <x:row r="213">
      <x:c r="A213" s="13">
        <x:v>5</x:v>
      </x:c>
      <x:c r="B213" s="14" t="s">
        <x:v>151</x:v>
      </x:c>
      <x:c r="C213" s="63" t="n">
        <x:f>H77</x:f>
        <x:v>0</x:v>
      </x:c>
    </x:row>
    <x:row r="214">
      <x:c r="A214" s="13">
        <x:v>6</x:v>
      </x:c>
      <x:c r="B214" s="14" t="s">
        <x:v>152</x:v>
      </x:c>
      <x:c r="C214" s="63" t="n">
        <x:f>H88</x:f>
        <x:v>0</x:v>
      </x:c>
    </x:row>
    <x:row r="215">
      <x:c r="A215" s="13">
        <x:v>7</x:v>
      </x:c>
      <x:c r="B215" s="14" t="s">
        <x:v>12</x:v>
      </x:c>
      <x:c r="C215" s="63" t="n">
        <x:f>H103</x:f>
        <x:v>0</x:v>
      </x:c>
    </x:row>
    <x:row r="216">
      <x:c r="A216" s="13">
        <x:v>8</x:v>
      </x:c>
      <x:c r="B216" s="14" t="str">
        <x:v>egyszárnyú GPO</x:v>
      </x:c>
      <x:c r="C216" s="63" t="n">
        <x:f>H115</x:f>
        <x:v>0</x:v>
      </x:c>
    </x:row>
    <x:row r="217">
      <x:c r="A217" s="13">
        <x:v>9</x:v>
      </x:c>
      <x:c r="B217" s="14" t="str">
        <x:v>kábeltálca (folyóméterenként)</x:v>
      </x:c>
      <x:c r="C217" s="63" t="n">
        <x:f>H129</x:f>
        <x:v>0</x:v>
      </x:c>
    </x:row>
    <x:row r="218">
      <x:c r="A218" s="13">
        <x:v>10</x:v>
      </x:c>
      <x:c r="B218" s="14" t="str">
        <x:v>Underground védőcső (folyóméterenként)</x:v>
      </x:c>
      <x:c r="C218" s="63" t="n">
        <x:f>H141</x:f>
        <x:v>0</x:v>
      </x:c>
    </x:row>
    <x:row r="219">
      <x:c r="A219" s="13">
        <x:v>11</x:v>
      </x:c>
      <x:c r="B219" s="14" t="s">
        <x:v>153</x:v>
      </x:c>
      <x:c r="C219" s="63" t="n">
        <x:f>H152</x:f>
        <x:v>0</x:v>
      </x:c>
    </x:row>
    <x:row r="220">
      <x:c r="A220" s="13">
        <x:v>12</x:v>
      </x:c>
      <x:c r="B220" s="14" t="s">
        <x:v>154</x:v>
      </x:c>
      <x:c r="C220" s="63" t="n">
        <x:f>H161</x:f>
        <x:v>0</x:v>
      </x:c>
    </x:row>
    <x:row r="221">
      <x:c r="A221" s="13">
        <x:v>13</x:v>
      </x:c>
      <x:c r="B221" s="14" t="str">
        <x:v>adatcsatlakozó (Double)</x:v>
      </x:c>
      <x:c r="C221" s="63" t="n">
        <x:f>H175</x:f>
        <x:v>0</x:v>
      </x:c>
    </x:row>
    <x:row r="222">
      <x:c r="A222" s="13">
        <x:v>14</x:v>
      </x:c>
      <x:c r="B222" s="14" t="str">
        <x:v>alelosztó (DB)</x:v>
      </x:c>
      <x:c r="C222" s="63" t="n">
        <x:f>H192</x:f>
        <x:v>0</x:v>
      </x:c>
    </x:row>
    <x:row r="223">
      <x:c r="A223" s="19">
        <x:v>15</x:v>
      </x:c>
      <x:c r="B223" s="20" t="s">
        <x:v>155</x:v>
      </x:c>
      <x:c r="C223" s="64" t="n">
        <x:f>H204</x:f>
        <x:v>0</x:v>
      </x:c>
    </x:row>
    <x:row r="224" ht="15.75">
      <x:c r="A224" s="66" t="s">
        <x:v>156</x:v>
      </x:c>
      <x:c r="B224" s="67"/>
      <x:c r="C224" s="65" t="n">
        <x:f>SUM(C209:C223)</x:f>
        <x:v>0</x:v>
      </x:c>
    </x:row>
  </x:sheetData>
  <x:mergeCells>
    <x:mergeCell ref="A130:B130"/>
    <x:mergeCell ref="A1:J1"/>
    <x:mergeCell ref="A2:J2"/>
    <x:mergeCell ref="A6:B6"/>
    <x:mergeCell ref="A21:B21"/>
    <x:mergeCell ref="A35:B35"/>
    <x:mergeCell ref="A49:B49"/>
    <x:mergeCell ref="A65:B65"/>
    <x:mergeCell ref="A78:B78"/>
    <x:mergeCell ref="A89:B89"/>
    <x:mergeCell ref="A104:B104"/>
    <x:mergeCell ref="A116:B116"/>
    <x:mergeCell ref="A224:B224"/>
    <x:mergeCell ref="A142:B142"/>
    <x:mergeCell ref="A153:B153"/>
    <x:mergeCell ref="A162:B162"/>
    <x:mergeCell ref="A176:B176"/>
    <x:mergeCell ref="A193:B193"/>
    <x:mergeCell ref="A207:J207"/>
  </x:mergeCells>
  <x:pageMargins left="0.7" right="0.7" top="0.75" bottom="0.75" header="0.3" footer="0.3"/>
</x:worksheet>
</file>