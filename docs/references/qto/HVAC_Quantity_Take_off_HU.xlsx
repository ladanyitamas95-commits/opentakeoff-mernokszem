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06e58027a42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VAC QTO" sheetId="1" r:id="Rd4108058fbaf4ce1"/>
    <x:sheet xmlns:r="http://schemas.openxmlformats.org/officeDocument/2006/relationships" name="Assemblies" sheetId="2" r:id="R68a8705170454f76"/>
  </x:sheets>
</x:workbook>
</file>

<file path=xl/sharedStrings.xml><?xml version="1.0" encoding="utf-8"?>
<x:sst xmlns:x="http://schemas.openxmlformats.org/spreadsheetml/2006/main">
  <x:si>
    <x:t xml:space="preserve">TOTAL
QTY</x:t>
  </x:si>
  <x:si>
    <x:t xml:space="preserve">1.1</x:t>
  </x:si>
  <x:si>
    <x:t xml:space="preserve">1.2</x:t>
  </x:si>
  <x:si>
    <x:t xml:space="preserve">1.3</x:t>
  </x:si>
  <x:si>
    <x:t xml:space="preserve">1.4</x:t>
  </x:si>
  <x:si>
    <x:t xml:space="preserve">1.5</x:t>
  </x:si>
  <x:si>
    <x:t xml:space="preserve">1.6</x:t>
  </x:si>
  <x:si>
    <x:t xml:space="preserve">1.7</x:t>
  </x:si>
  <x:si>
    <x:t xml:space="preserve">1.8</x:t>
  </x:si>
  <x:si>
    <x:t xml:space="preserve">1.9</x:t>
  </x:si>
  <x:si>
    <x:t xml:space="preserve">1.10</x:t>
  </x:si>
  <x:si>
    <x:t xml:space="preserve">1.11</x:t>
  </x:si>
  <x:si>
    <x:t xml:space="preserve">1.12</x:t>
  </x:si>
  <x:si>
    <x:t xml:space="preserve">2.1</x:t>
  </x:si>
  <x:si>
    <x:t xml:space="preserve">2.2</x:t>
  </x:si>
  <x:si>
    <x:t xml:space="preserve">2.3</x:t>
  </x:si>
  <x:si>
    <x:t xml:space="preserve">2.4</x:t>
  </x:si>
  <x:si>
    <x:t xml:space="preserve">2.5</x:t>
  </x:si>
  <x:si>
    <x:t xml:space="preserve">2.6</x:t>
  </x:si>
  <x:si>
    <x:t xml:space="preserve">2.7</x:t>
  </x:si>
  <x:si>
    <x:t xml:space="preserve">Inertia base / concrete plinth</x:t>
  </x:si>
  <x:si>
    <x:t xml:space="preserve">3.1</x:t>
  </x:si>
  <x:si>
    <x:t xml:space="preserve">3.2</x:t>
  </x:si>
  <x:si>
    <x:t xml:space="preserve">3.3</x:t>
  </x:si>
  <x:si>
    <x:t xml:space="preserve">3.4</x:t>
  </x:si>
  <x:si>
    <x:t xml:space="preserve">3.5</x:t>
  </x:si>
  <x:si>
    <x:t xml:space="preserve">VAV box</x:t>
  </x:si>
  <x:si>
    <x:t xml:space="preserve">3.6</x:t>
  </x:si>
  <x:si>
    <x:t xml:space="preserve">CAV box</x:t>
  </x:si>
  <x:si>
    <x:t xml:space="preserve">3.7</x:t>
  </x:si>
  <x:si>
    <x:t xml:space="preserve">3.8</x:t>
  </x:si>
  <x:si>
    <x:t xml:space="preserve">3.9</x:t>
  </x:si>
  <x:si>
    <x:t xml:space="preserve">3.10</x:t>
  </x:si>
  <x:si>
    <x:t xml:space="preserve">3.11</x:t>
  </x:si>
  <x:si>
    <x:t xml:space="preserve">3.12</x:t>
  </x:si>
  <x:si>
    <x:t xml:space="preserve">Refnet joint / header (VRF)</x:t>
  </x:si>
  <x:si>
    <x:t xml:space="preserve">4.1</x:t>
  </x:si>
  <x:si>
    <x:t xml:space="preserve">4.2</x:t>
  </x:si>
  <x:si>
    <x:t xml:space="preserve">4.3</x:t>
  </x:si>
  <x:si>
    <x:t xml:space="preserve">4.4</x:t>
  </x:si>
  <x:si>
    <x:t xml:space="preserve">4.5</x:t>
  </x:si>
  <x:si>
    <x:t xml:space="preserve">4.6</x:t>
  </x:si>
  <x:si>
    <x:t xml:space="preserve">4.7</x:t>
  </x:si>
  <x:si>
    <x:t xml:space="preserve">4.8</x:t>
  </x:si>
  <x:si>
    <x:t xml:space="preserve">4.9</x:t>
  </x:si>
  <x:si>
    <x:t xml:space="preserve">4.10</x:t>
  </x:si>
  <x:si>
    <x:t xml:space="preserve">4.11</x:t>
  </x:si>
  <x:si>
    <x:t xml:space="preserve">4.12</x:t>
  </x:si>
  <x:si>
    <x:t xml:space="preserve">Acoustic silencer / attenuator</x:t>
  </x:si>
  <x:si>
    <x:t xml:space="preserve">4.13</x:t>
  </x:si>
  <x:si>
    <x:t xml:space="preserve">4.14</x:t>
  </x:si>
  <x:si>
    <x:t xml:space="preserve">4.15</x:t>
  </x:si>
  <x:si>
    <x:t xml:space="preserve">4.16</x:t>
  </x:si>
  <x:si>
    <x:t xml:space="preserve">m²</x:t>
  </x:si>
  <x:si>
    <x:t xml:space="preserve">4.17</x:t>
  </x:si>
  <x:si>
    <x:t xml:space="preserve">5.1</x:t>
  </x:si>
  <x:si>
    <x:t xml:space="preserve">5.2</x:t>
  </x:si>
  <x:si>
    <x:t xml:space="preserve">5.3</x:t>
  </x:si>
  <x:si>
    <x:t xml:space="preserve">5.4</x:t>
  </x:si>
  <x:si>
    <x:t xml:space="preserve">5.5</x:t>
  </x:si>
  <x:si>
    <x:t xml:space="preserve">5.6</x:t>
  </x:si>
  <x:si>
    <x:t xml:space="preserve">5.7</x:t>
  </x:si>
  <x:si>
    <x:t xml:space="preserve">5.8</x:t>
  </x:si>
  <x:si>
    <x:t xml:space="preserve">5.9</x:t>
  </x:si>
  <x:si>
    <x:t xml:space="preserve">5.10</x:t>
  </x:si>
  <x:si>
    <x:t xml:space="preserve">5.11</x:t>
  </x:si>
  <x:si>
    <x:t xml:space="preserve">6.1</x:t>
  </x:si>
  <x:si>
    <x:t xml:space="preserve">6.2</x:t>
  </x:si>
  <x:si>
    <x:t xml:space="preserve">6.3</x:t>
  </x:si>
  <x:si>
    <x:t xml:space="preserve">6.4</x:t>
  </x:si>
  <x:si>
    <x:t xml:space="preserve">6.5</x:t>
  </x:si>
  <x:si>
    <x:t xml:space="preserve">6.6</x:t>
  </x:si>
  <x:si>
    <x:t xml:space="preserve">6.7</x:t>
  </x:si>
  <x:si>
    <x:t xml:space="preserve">6.8</x:t>
  </x:si>
  <x:si>
    <x:t xml:space="preserve">6.9</x:t>
  </x:si>
  <x:si>
    <x:t xml:space="preserve">6.10</x:t>
  </x:si>
  <x:si>
    <x:t xml:space="preserve">6.11</x:t>
  </x:si>
  <x:si>
    <x:t xml:space="preserve">6.12</x:t>
  </x:si>
  <x:si>
    <x:t xml:space="preserve">6.13</x:t>
  </x:si>
  <x:si>
    <x:t xml:space="preserve">6.14</x:t>
  </x:si>
  <x:si>
    <x:t xml:space="preserve">6.15</x:t>
  </x:si>
  <x:si>
    <x:t xml:space="preserve">Pressure gauge</x:t>
  </x:si>
  <x:si>
    <x:t xml:space="preserve">6.16</x:t>
  </x:si>
  <x:si>
    <x:t xml:space="preserve">Thermometer / temp pocket</x:t>
  </x:si>
  <x:si>
    <x:t xml:space="preserve">6.17</x:t>
  </x:si>
  <x:si>
    <x:t xml:space="preserve">6.18</x:t>
  </x:si>
  <x:si>
    <x:t xml:space="preserve">6.19</x:t>
  </x:si>
  <x:si>
    <x:t xml:space="preserve">7.1</x:t>
  </x:si>
  <x:si>
    <x:t xml:space="preserve">7.2</x:t>
  </x:si>
  <x:si>
    <x:t xml:space="preserve">7.3</x:t>
  </x:si>
  <x:si>
    <x:t xml:space="preserve">7.4</x:t>
  </x:si>
  <x:si>
    <x:t xml:space="preserve">7.5</x:t>
  </x:si>
  <x:si>
    <x:t xml:space="preserve">7.6</x:t>
  </x:si>
  <x:si>
    <x:t xml:space="preserve">8.1</x:t>
  </x:si>
  <x:si>
    <x:t xml:space="preserve">8.2</x:t>
  </x:si>
  <x:si>
    <x:t xml:space="preserve">8.3</x:t>
  </x:si>
  <x:si>
    <x:t xml:space="preserve">8.4</x:t>
  </x:si>
  <x:si>
    <x:t xml:space="preserve">8.5</x:t>
  </x:si>
  <x:si>
    <x:t xml:space="preserve">8.6</x:t>
  </x:si>
  <x:si>
    <x:t xml:space="preserve">8.7</x:t>
  </x:si>
  <x:si>
    <x:t xml:space="preserve">8.8</x:t>
  </x:si>
  <x:si>
    <x:t xml:space="preserve">8.9</x:t>
  </x:si>
  <x:si>
    <x:t xml:space="preserve">8.10</x:t>
  </x:si>
  <x:si>
    <x:t xml:space="preserve">8.11</x:t>
  </x:si>
  <x:si>
    <x:t xml:space="preserve">8.12</x:t>
  </x:si>
  <x:si>
    <x:t xml:space="preserve">9.1</x:t>
  </x:si>
  <x:si>
    <x:t xml:space="preserve">9.2</x:t>
  </x:si>
  <x:si>
    <x:t xml:space="preserve">Pressure testing - pipework section</x:t>
  </x:si>
  <x:si>
    <x:t xml:space="preserve">9.3</x:t>
  </x:si>
  <x:si>
    <x:t xml:space="preserve">9.4</x:t>
  </x:si>
  <x:si>
    <x:t xml:space="preserve">9.5</x:t>
  </x:si>
  <x:si>
    <x:t xml:space="preserve">Assembly
Ref</x:t>
  </x:si>
  <x:si>
    <x:t xml:space="preserve">Extended
Qty</x:t>
  </x:si>
  <x:si>
    <x:t xml:space="preserve">P</x:t>
  </x:si>
  <x:si>
    <x:t xml:space="preserve">From local DB</x:t>
  </x:si>
  <x:si>
    <x:t xml:space="preserve">Labour - pipefitter connections</x:t>
  </x:si>
  <x:si>
    <x:t xml:space="preserve">Brazing &amp; isolation test</x:t>
  </x:si>
  <x:si>
    <x:t xml:space="preserve">Labour - insulator</x:t>
  </x:si>
  <x:si>
    <x:t xml:space="preserve">Labour - electrician (power &amp; BMS)</x:t>
  </x:si>
  <x:si>
    <x:t xml:space="preserve">Scissor lift / mobile platform</x:t>
  </x:si>
  <x:si>
    <x:t xml:space="preserve">ASSEMBLY 1 SUBTOTAL</x:t>
  </x:si>
  <x:si>
    <x:t xml:space="preserve">QTO Ref 3.2</x:t>
  </x:si>
  <x:si>
    <x:t xml:space="preserve">For exposed mounting</x:t>
  </x:si>
  <x:si>
    <x:t xml:space="preserve">Longer drain run typical</x:t>
  </x:si>
  <x:si>
    <x:t xml:space="preserve">Higher than recessed</x:t>
  </x:si>
  <x:si>
    <x:t xml:space="preserve">Labour - electrician</x:t>
  </x:si>
  <x:si>
    <x:t xml:space="preserve">Scissor lift / EWP</x:t>
  </x:si>
  <x:si>
    <x:t xml:space="preserve">ASSEMBLY 2 SUBTOTAL</x:t>
  </x:si>
  <x:si>
    <x:t xml:space="preserve">Joint flange + gasket</x:t>
  </x:si>
  <x:si>
    <x:t xml:space="preserve">1 joint per 1.2m</x:t>
  </x:si>
  <x:si>
    <x:t xml:space="preserve">1 set per 2m</x:t>
  </x:si>
  <x:si>
    <x:t xml:space="preserve">Concrete anchor / fixing</x:t>
  </x:si>
  <x:si>
    <x:t xml:space="preserve">Joints &amp; seams</x:t>
  </x:si>
  <x:si>
    <x:t xml:space="preserve">ASSEMBLY 3 SUBTOTAL</x:t>
  </x:si>
  <x:si>
    <x:t xml:space="preserve">QTO Ref 4.2</x:t>
  </x:si>
  <x:si>
    <x:t xml:space="preserve">Coupling / joint band</x:t>
  </x:si>
  <x:si>
    <x:t xml:space="preserve">1 per 2m</x:t>
  </x:si>
  <x:si>
    <x:t xml:space="preserve">1 per 2.5m</x:t>
  </x:si>
  <x:si>
    <x:t xml:space="preserve">Concrete anchor</x:t>
  </x:si>
  <x:si>
    <x:t xml:space="preserve">Sundries</x:t>
  </x:si>
  <x:si>
    <x:t xml:space="preserve">Scissor lift</x:t>
  </x:si>
  <x:si>
    <x:t xml:space="preserve">ASSEMBLY 4 SUBTOTAL</x:t>
  </x:si>
  <x:si>
    <x:t xml:space="preserve">QTO Ref 4.3</x:t>
  </x:si>
  <x:si>
    <x:t xml:space="preserve">Worm-drive clamps</x:t>
  </x:si>
  <x:si>
    <x:t xml:space="preserve">Both ends</x:t>
  </x:si>
  <x:si>
    <x:t xml:space="preserve">ASSEMBLY 5 SUBTOTAL</x:t>
  </x:si>
  <x:si>
    <x:t xml:space="preserve">QTO Ref 4.9</x:t>
  </x:si>
  <x:si>
    <x:t xml:space="preserve">Around penetration</x:t>
  </x:si>
  <x:si>
    <x:t xml:space="preserve">For annual inspection</x:t>
  </x:si>
  <x:si>
    <x:t xml:space="preserve">FD identification label</x:t>
  </x:si>
  <x:si>
    <x:t xml:space="preserve">For compliance</x:t>
  </x:si>
  <x:si>
    <x:t xml:space="preserve">Labour - fire-stopping penetration</x:t>
  </x:si>
  <x:si>
    <x:t xml:space="preserve">Labour - commissioning (fusible link test)</x:t>
  </x:si>
  <x:si>
    <x:t xml:space="preserve">ASSEMBLY 6 SUBTOTAL</x:t>
  </x:si>
  <x:si>
    <x:t xml:space="preserve">QTO Ref 5.1</x:t>
  </x:si>
  <x:si>
    <x:t xml:space="preserve">Max per AS 4254</x:t>
  </x:si>
  <x:si>
    <x:t xml:space="preserve">ASSEMBLY 7 SUBTOTAL</x:t>
  </x:si>
  <x:si>
    <x:t xml:space="preserve">QTO Ref 6.1</x:t>
  </x:si>
  <x:si>
    <x:t xml:space="preserve">1 per 2.5m typical</x:t>
  </x:si>
  <x:si>
    <x:t xml:space="preserve">Brazing rod &amp; flux</x:t>
  </x:si>
  <x:si>
    <x:t xml:space="preserve">Closed-cell, vapour barrier</x:t>
  </x:si>
  <x:si>
    <x:t xml:space="preserve">1 per 5m</x:t>
  </x:si>
  <x:si>
    <x:t xml:space="preserve">Vapour barrier critical</x:t>
  </x:si>
  <x:si>
    <x:t xml:space="preserve">Labour - pressure testing</x:t>
  </x:si>
  <x:si>
    <x:t xml:space="preserve">ASSEMBLY 8 SUBTOTAL</x:t>
  </x:si>
  <x:si>
    <x:t xml:space="preserve">QTO Ref 6.3</x:t>
  </x:si>
  <x:si>
    <x:t xml:space="preserve">Welding consumables (rods/gas)</x:t>
  </x:si>
  <x:si>
    <x:t xml:space="preserve">Higher temp than CHW</x:t>
  </x:si>
  <x:si>
    <x:t xml:space="preserve">Welding plant</x:t>
  </x:si>
  <x:si>
    <x:t xml:space="preserve">ASSEMBLY 9 SUBTOTAL</x:t>
  </x:si>
  <x:si>
    <x:t xml:space="preserve">QTO Ref 6.6</x:t>
  </x:si>
  <x:si>
    <x:t xml:space="preserve">Trap</x:t>
  </x:si>
  <x:si>
    <x:t xml:space="preserve">1 per 1.5m</x:t>
  </x:si>
  <x:si>
    <x:t xml:space="preserve">Solvent cement &amp; primer</x:t>
  </x:si>
  <x:si>
    <x:t xml:space="preserve">Cut, glue, hang</x:t>
  </x:si>
  <x:si>
    <x:t xml:space="preserve">1:100 fall minimum</x:t>
  </x:si>
  <x:si>
    <x:t xml:space="preserve">ASSEMBLY 10 SUBTOTAL</x:t>
  </x:si>
  <x:si>
    <x:t xml:space="preserve">QTO Ref 2.1</x:t>
  </x:si>
  <x:si>
    <x:t xml:space="preserve">4 corner isolators</x:t>
  </x:si>
  <x:si>
    <x:t xml:space="preserve">For heating coil</x:t>
  </x:si>
  <x:si>
    <x:t xml:space="preserve">BMS sensors - SAT, RAT, filter pressure</x:t>
  </x:si>
  <x:si>
    <x:t xml:space="preserve">Labour - mechanical fitter (set &amp; align)</x:t>
  </x:si>
  <x:si>
    <x:t xml:space="preserve">2 fitters × 4 hours</x:t>
  </x:si>
  <x:si>
    <x:t xml:space="preserve">Labour - pipefitter (CHW &amp; HW)</x:t>
  </x:si>
  <x:si>
    <x:t xml:space="preserve">Headers, valves, vents</x:t>
  </x:si>
  <x:si>
    <x:t xml:space="preserve">Plant area lagging</x:t>
  </x:si>
  <x:si>
    <x:t xml:space="preserve">Labour - foreman / supervision</x:t>
  </x:si>
  <x:si>
    <x:t xml:space="preserve">Half-day mob + lift</x:t>
  </x:si>
  <x:si>
    <x:t xml:space="preserve">Boom lift (in plant area)</x:t>
  </x:si>
  <x:si>
    <x:t xml:space="preserve">ASSEMBLY 11 SUBTOTAL</x:t>
  </x:si>
  <x:si>
    <x:t xml:space="preserve">kW</x:t>
  </x:si>
  <x:si>
    <x:t xml:space="preserve">BMS interface gateway &amp; sensors</x:t>
  </x:si>
  <x:si>
    <x:t xml:space="preserve">~16hr per ~200kW unit</x:t>
  </x:si>
  <x:si>
    <x:t xml:space="preserve">Labour - refrigeration mechanic</x:t>
  </x:si>
  <x:si>
    <x:t xml:space="preserve">Licensed - leak test, charge</x:t>
  </x:si>
  <x:si>
    <x:t xml:space="preserve">Labour - pipefitter (header connections)</x:t>
  </x:si>
  <x:si>
    <x:t xml:space="preserve">Labour - foreman supervision</x:t>
  </x:si>
  <x:si>
    <x:t xml:space="preserve">Labour - commissioning engineer</x:t>
  </x:si>
  <x:si>
    <x:t xml:space="preserve">~8hr per ~200kW unit</x:t>
  </x:si>
  <x:si>
    <x:t xml:space="preserve">ASSEMBLY 12 SUBTOTAL</x:t>
  </x:si>
  <x:si>
    <x:t xml:space="preserve">QTO Ref 8.1</x:t>
  </x:si>
  <x:si>
    <x:t xml:space="preserve">I/O module - analogue input</x:t>
  </x:si>
  <x:si>
    <x:t xml:space="preserve">I/O module - analogue output</x:t>
  </x:si>
  <x:si>
    <x:t xml:space="preserve">I/O module - digital input</x:t>
  </x:si>
  <x:si>
    <x:t xml:space="preserve">I/O module - digital output</x:t>
  </x:si>
  <x:si>
    <x:t xml:space="preserve">To head-end</x:t>
  </x:si>
  <x:si>
    <x:t xml:space="preserve">Identification labels</x:t>
  </x:si>
  <x:si>
    <x:t xml:space="preserve">Mount, wire, address</x:t>
  </x:si>
  <x:si>
    <x:t xml:space="preserve">Labour - BMS programming &amp; graphics</x:t>
  </x:si>
  <x:si>
    <x:t xml:space="preserve">Engineering effort</x:t>
  </x:si>
  <x:si>
    <x:t xml:space="preserve">Labour - BMS commissioning</x:t>
  </x:si>
  <x:si>
    <x:t xml:space="preserve">Labour - electrician (power feed)</x:t>
  </x:si>
  <x:si>
    <x:t xml:space="preserve">ASSEMBLY 13 SUBTOTAL</x:t>
  </x:si>
  <x:si>
    <x:t xml:space="preserve">QTO Ref 8.2</x:t>
  </x:si>
  <x:si>
    <x:t xml:space="preserve">Type per spec</x:t>
  </x:si>
  <x:si>
    <x:t xml:space="preserve">ASSEMBLY 14 SUBTOTAL</x:t>
  </x:si>
  <x:si>
    <x:t xml:space="preserve">ASSEMBLY COST SUMMARY</x:t>
  </x:si>
  <x:si>
    <x:t xml:space="preserve">Assembly</x:t>
  </x:si>
  <x:si>
    <x:t xml:space="preserve">Assembly Total ($)</x:t>
  </x:si>
  <x:si>
    <x:t xml:space="preserve">GRAND TOTAL (ALL ASSEMBLIES)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</x:si>
</x:sst>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b/>
      <x:sz val="16"/>
      <x:color rgb="FF1F4E79"/>
      <x:name val="Calibri"/>
    </x:font>
    <x:font>
      <x:b/>
      <x:sz val="11"/>
      <x:color rgb="FF1F4E79"/>
      <x:name val="Calibri"/>
    </x:font>
    <x:font>
      <x:b/>
      <x:sz val="11"/>
      <x:color rgb="FFFFFFFF"/>
      <x:name val="Calibri"/>
    </x:font>
    <x:font>
      <x:i/>
      <x:sz val="10"/>
      <x:color rgb="FF595959"/>
      <x:name val="Calibri"/>
    </x:font>
    <x:font>
      <x:sz val="11"/>
      <x:name val="Calibri"/>
    </x:font>
    <x:font>
      <x:b/>
      <x:sz val="11"/>
      <x:name val="Calibri"/>
    </x:font>
    <x:font>
      <x:i/>
      <x:sz val="10"/>
      <x:color rgb="FF808080"/>
      <x:name val="Calibri"/>
    </x:font>
    <x:font>
      <x:b/>
      <x:sz val="12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8" fillId="2" borderId="1" xfId="0" applyFont="1" applyFill="1" applyBorder="1" applyAlignment="1">
      <x:alignment horizontal="left" vertical="center" wrapText="1"/>
    </x:xf>
    <x:xf numFmtId="0" fontId="5" fillId="0" borderId="1" xfId="0" applyFont="1" applyBorder="1" applyAlignment="1">
      <x:alignment horizontal="left" vertical="center" wrapText="1"/>
    </x:xf>
    <x:xf numFmtId="0" fontId="6" fillId="6" borderId="1" xfId="0" applyFont="1" applyFill="1" applyBorder="1" applyAlignment="1">
      <x:alignment horizontal="left" vertical="center" wrapText="1"/>
    </x:xf>
    <x:xf numFmtId="0" fontId="3" fillId="2" borderId="0" xfId="0" applyFont="1" applyFill="1" applyAlignment="1">
      <x:alignment horizontal="left" vertical="center" wrapText="1"/>
    </x:xf>
    <x:xf numFmtId="0" fontId="4" fillId="0" borderId="0" xfId="0" applyFont="1" applyAlignment="1">
      <x:alignment horizontal="left" vertical="center" wrapText="1"/>
    </x:xf>
    <x:xf numFmtId="0" fontId="3" fillId="3" borderId="0" xfId="0" applyFont="1" applyFill="1" applyAlignment="1">
      <x:alignment horizontal="left" vertical="center" wrapText="1"/>
    </x:xf>
    <x:xf numFmtId="0" fontId="1" fillId="0" borderId="0" xfId="0" applyFont="1" applyAlignment="1">
      <x:alignment horizontal="left" vertical="center" wrapText="1"/>
    </x:xf>
    <x:xf numFmtId="0" fontId="2" fillId="0" borderId="0" xfId="0" applyFont="1" applyAlignment="1">
      <x:alignment horizontal="left" vertical="center" wrapText="1"/>
    </x:xf>
    <x:xf numFmtId="0" fontId="3" fillId="2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0" fillId="3" borderId="0" xfId="0" applyFill="1"/>
    <x:xf numFmtId="0" fontId="5" fillId="0" borderId="1" xfId="0" applyFont="1" applyBorder="1" applyAlignment="1">
      <x:alignment horizontal="center" vertical="center" wrapText="1"/>
    </x:xf>
    <x:xf numFmtId="0" fontId="0" fillId="0" borderId="1" xfId="0" applyBorder="1"/>
    <x:xf numFmtId="0" fontId="5" fillId="0" borderId="1" xfId="0" applyFont="1" applyBorder="1" applyAlignment="1">
      <x:alignment horizontal="left" vertical="center" wrapText="1"/>
    </x:xf>
    <x:xf numFmtId="0" fontId="0" fillId="4" borderId="1" xfId="0" applyFill="1" applyBorder="1" applyAlignment="1">
      <x:alignment horizontal="center" vertical="center" wrapText="1"/>
    </x:xf>
    <x:xf numFmtId="0" fontId="6" fillId="5" borderId="1" xfId="0" applyFont="1" applyFill="1" applyBorder="1" applyAlignment="1">
      <x:alignment horizontal="center" vertical="center" wrapText="1"/>
    </x:xf>
    <x:xf numFmtId="0" fontId="7" fillId="0" borderId="0" xfId="0" applyFont="1" applyAlignment="1">
      <x:alignment horizontal="left" vertical="center" wrapText="1"/>
    </x:xf>
    <x:xf numFmtId="0" fontId="6" fillId="0" borderId="1" xfId="0" applyFont="1" applyBorder="1" applyAlignment="1">
      <x:alignment horizontal="center" vertical="center" wrapText="1"/>
    </x:xf>
    <x:xf numFmtId="0" fontId="6" fillId="0" borderId="1" xfId="0" applyFont="1" applyBorder="1" applyAlignment="1">
      <x:alignment horizontal="left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5" fillId="5" borderId="1" xfId="0" applyFont="1" applyFill="1" applyBorder="1" applyAlignment="1">
      <x:alignment horizontal="center" vertical="center" wrapText="1"/>
    </x:xf>
    <x:xf numFmtId="0" fontId="0" fillId="6" borderId="1" xfId="0" applyFill="1" applyBorder="1"/>
    <x:xf numFmtId="0" fontId="6" fillId="6" borderId="0" xfId="0" applyFont="1" applyFill="1" applyAlignment="1">
      <x:alignment horizontal="left" vertical="center" wrapText="1"/>
    </x:xf>
    <x:xf numFmtId="0" fontId="6" fillId="6" borderId="1" xfId="0" applyFont="1" applyFill="1" applyBorder="1" applyAlignment="1">
      <x:alignment horizontal="center" vertical="center" wrapText="1"/>
    </x:xf>
    <x:xf numFmtId="0" fontId="8" fillId="2" borderId="1" xfId="0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E2EFDA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59595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e790ef42a42a1" /><Relationship Type="http://schemas.openxmlformats.org/officeDocument/2006/relationships/theme" Target="/xl/theme/theme1.xml" Id="R1d089fce05424d94" /><Relationship Type="http://schemas.openxmlformats.org/officeDocument/2006/relationships/sharedStrings" Target="/xl/sharedStrings.xml" Id="Rf5a1fe01f1d44fdc" /><Relationship Type="http://schemas.openxmlformats.org/officeDocument/2006/relationships/worksheet" Target="/xl/worksheets/sheet1.xml" Id="Rd4108058fbaf4ce1" /><Relationship Type="http://schemas.openxmlformats.org/officeDocument/2006/relationships/worksheet" Target="/xl/worksheets/sheet2.xml" Id="R68a8705170454f7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4" ySplit="9" topLeftCell="E10" activePane="bottomRight" state="frozen"/>
    </x:sheetView>
  </x:sheetViews>
  <x:sheetFormatPr defaultColWidth="8.6640625" defaultRowHeight="14.25"/>
  <x:cols>
    <x:col min="1" max="1" width="9" customWidth="1"/>
    <x:col min="2" max="2" width="25" customWidth="1"/>
    <x:col min="3" max="3" width="50" customWidth="1"/>
    <x:col min="4" max="4" width="8" customWidth="1"/>
    <x:col min="5" max="12" width="12.46484375" customWidth="1"/>
    <x:col min="13" max="13" width="11" customWidth="1"/>
    <x:col min="14" max="14" width="30" customWidth="1"/>
  </x:cols>
  <x:sheetData>
    <x:row r="1" ht="24" customHeight="1">
      <x:c r="A1" s="7" t="str">
        <x:v>ÉPÜLETGÉPÉSZETI (HVAC) MENNYISÉGFELVÉTEL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3">
      <x:c r="A3" s="8" t="str">
        <x:v>Projekt:</x:v>
      </x:c>
    </x:row>
    <x:row r="4">
      <x:c r="A4" s="8" t="str">
        <x:v>Megrendelő:</x:v>
      </x:c>
    </x:row>
    <x:row r="5">
      <x:c r="A5" s="8" t="str">
        <x:v>Dátum:</x:v>
      </x:c>
    </x:row>
    <x:row r="6" ht="28.5">
      <x:c r="A6" s="8" t="str">
        <x:v>Készítette:</x:v>
      </x:c>
    </x:row>
    <x:row r="8" ht="30" customHeight="1">
      <x:c r="A8" s="9" t="str">
        <x:v>Tétel-
azonosító</x:v>
      </x:c>
      <x:c r="B8" s="9" t="str">
        <x:v>Kategória</x:v>
      </x:c>
      <x:c r="C8" s="9" t="str">
        <x:v>Megnevezés / műszaki leírás</x:v>
      </x:c>
      <x:c r="D8" s="9" t="str">
        <x:v>Mértékegység</x:v>
      </x:c>
      <x:c r="E8" s="9" t="str">
        <x:v>Terv 1</x:v>
      </x:c>
      <x:c r="F8" s="9" t="str">
        <x:v>Terv 2</x:v>
      </x:c>
      <x:c r="G8" s="9" t="str">
        <x:v>Terv 3</x:v>
      </x:c>
      <x:c r="H8" s="9" t="str">
        <x:v>Terv 4</x:v>
      </x:c>
      <x:c r="I8" s="9" t="str">
        <x:v>Terv 5</x:v>
      </x:c>
      <x:c r="J8" s="9" t="str">
        <x:v>Terv 6</x:v>
      </x:c>
      <x:c r="K8" s="9" t="str">
        <x:v>Terv 7</x:v>
      </x:c>
      <x:c r="L8" s="9" t="str">
        <x:v>Terv 8</x:v>
      </x:c>
      <x:c r="M8" s="9" t="s">
        <x:v>0</x:v>
      </x:c>
      <x:c r="N8" s="9" t="str">
        <x:v>Megjegyzés</x:v>
      </x:c>
    </x:row>
    <x:row r="9" ht="18" customHeight="1">
      <x:c r="E9" s="10" t="str">
        <x:v>Tervszám</x:v>
      </x:c>
      <x:c r="F9" s="10" t="str">
        <x:v>Tervszám</x:v>
      </x:c>
      <x:c r="G9" s="10" t="str">
        <x:v>Tervszám</x:v>
      </x:c>
      <x:c r="H9" s="10" t="str">
        <x:v>Tervszám</x:v>
      </x:c>
      <x:c r="I9" s="10" t="str">
        <x:v>Tervszám</x:v>
      </x:c>
      <x:c r="J9" s="10" t="str">
        <x:v>Tervszám</x:v>
      </x:c>
      <x:c r="K9" s="10" t="str">
        <x:v>Tervszám</x:v>
      </x:c>
      <x:c r="L9" s="10" t="str">
        <x:v>Tervszám</x:v>
      </x:c>
    </x:row>
    <x:row r="10" ht="19.5" customHeight="1">
      <x:c r="A10" s="11"/>
      <x:c r="B10" s="6" t="str">
        <x:v>GÉPÉSZETI FŐBERENDEZÉSEK</x:v>
      </x:c>
      <x:c r="C10" s="6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</x:row>
    <x:row r="11">
      <x:c r="A11" s="12" t="s">
        <x:v>1</x:v>
      </x:c>
      <x:c r="B11" s="13"/>
      <x:c r="C11" s="14" t="str">
        <x:v>folyadékhűtő - léghűtéses (kW: ___)</x:v>
      </x:c>
      <x:c r="D11" s="12" t="str">
        <x:v>db</x:v>
      </x:c>
      <x:c r="E11" s="15"/>
      <x:c r="F11" s="15"/>
      <x:c r="G11" s="15"/>
      <x:c r="H11" s="15"/>
      <x:c r="I11" s="15"/>
      <x:c r="J11" s="15"/>
      <x:c r="K11" s="15"/>
      <x:c r="L11" s="15"/>
      <x:c r="M11" s="16" t="n">
        <x:f t="shared" ref="M11:M22" si="0">SUM(E11:L11)</x:f>
        <x:v>0</x:v>
      </x:c>
      <x:c r="N11" s="13"/>
    </x:row>
    <x:row r="12">
      <x:c r="A12" s="12" t="s">
        <x:v>2</x:v>
      </x:c>
      <x:c r="B12" s="13"/>
      <x:c r="C12" s="14" t="str">
        <x:v>folyadékhűtő - vízhűtéses (kW: ___)</x:v>
      </x:c>
      <x:c r="D12" s="12" t="str">
        <x:v>db</x:v>
      </x:c>
      <x:c r="E12" s="15"/>
      <x:c r="F12" s="15"/>
      <x:c r="G12" s="15"/>
      <x:c r="H12" s="15"/>
      <x:c r="I12" s="15"/>
      <x:c r="J12" s="15"/>
      <x:c r="K12" s="15"/>
      <x:c r="L12" s="15"/>
      <x:c r="M12" s="16">
        <x:f t="shared" si="0"/>
        <x:v>0</x:v>
      </x:c>
      <x:c r="N12" s="13"/>
    </x:row>
    <x:row r="13">
      <x:c r="A13" s="12" t="s">
        <x:v>3</x:v>
      </x:c>
      <x:c r="B13" s="13"/>
      <x:c r="C13" s="14" t="str">
        <x:v>hűtőtorony (kW: ___)</x:v>
      </x:c>
      <x:c r="D13" s="12" t="str">
        <x:v>db</x:v>
      </x:c>
      <x:c r="E13" s="15"/>
      <x:c r="F13" s="15"/>
      <x:c r="G13" s="15"/>
      <x:c r="H13" s="15"/>
      <x:c r="I13" s="15"/>
      <x:c r="J13" s="15"/>
      <x:c r="K13" s="15"/>
      <x:c r="L13" s="15"/>
      <x:c r="M13" s="16">
        <x:f t="shared" si="0"/>
        <x:v>0</x:v>
      </x:c>
      <x:c r="N13" s="13"/>
    </x:row>
    <x:row r="14">
      <x:c r="A14" s="12" t="s">
        <x:v>4</x:v>
      </x:c>
      <x:c r="B14" s="13"/>
      <x:c r="C14" s="14" t="str">
        <x:v>kazán - gáztüzelésű (kW: ___)</x:v>
      </x:c>
      <x:c r="D14" s="12" t="str">
        <x:v>db</x:v>
      </x:c>
      <x:c r="E14" s="15"/>
      <x:c r="F14" s="15"/>
      <x:c r="G14" s="15"/>
      <x:c r="H14" s="15"/>
      <x:c r="I14" s="15"/>
      <x:c r="J14" s="15"/>
      <x:c r="K14" s="15"/>
      <x:c r="L14" s="15"/>
      <x:c r="M14" s="16">
        <x:f t="shared" si="0"/>
        <x:v>0</x:v>
      </x:c>
      <x:c r="N14" s="13"/>
    </x:row>
    <x:row r="15">
      <x:c r="A15" s="12" t="s">
        <x:v>5</x:v>
      </x:c>
      <x:c r="B15" s="13"/>
      <x:c r="C15" s="14" t="str">
        <x:v>kazán - elektromos / hőszivattyú (kW: ___)</x:v>
      </x:c>
      <x:c r="D15" s="12" t="str">
        <x:v>db</x:v>
      </x:c>
      <x:c r="E15" s="15"/>
      <x:c r="F15" s="15"/>
      <x:c r="G15" s="15"/>
      <x:c r="H15" s="15"/>
      <x:c r="I15" s="15"/>
      <x:c r="J15" s="15"/>
      <x:c r="K15" s="15"/>
      <x:c r="L15" s="15"/>
      <x:c r="M15" s="16">
        <x:f t="shared" si="0"/>
        <x:v>0</x:v>
      </x:c>
      <x:c r="N15" s="13"/>
    </x:row>
    <x:row r="16">
      <x:c r="A16" s="12" t="s">
        <x:v>6</x:v>
      </x:c>
      <x:c r="B16" s="13"/>
      <x:c r="C16" s="14" t="str">
        <x:v>szivattyú - hűtött víz primer</x:v>
      </x:c>
      <x:c r="D16" s="12" t="str">
        <x:v>db</x:v>
      </x:c>
      <x:c r="E16" s="15"/>
      <x:c r="F16" s="15"/>
      <x:c r="G16" s="15"/>
      <x:c r="H16" s="15"/>
      <x:c r="I16" s="15"/>
      <x:c r="J16" s="15"/>
      <x:c r="K16" s="15"/>
      <x:c r="L16" s="15"/>
      <x:c r="M16" s="16">
        <x:f t="shared" si="0"/>
        <x:v>0</x:v>
      </x:c>
      <x:c r="N16" s="13"/>
    </x:row>
    <x:row r="17">
      <x:c r="A17" s="12" t="s">
        <x:v>7</x:v>
      </x:c>
      <x:c r="B17" s="13"/>
      <x:c r="C17" s="14" t="str">
        <x:v>szivattyú - hűtött víz szekunder</x:v>
      </x:c>
      <x:c r="D17" s="12" t="str">
        <x:v>db</x:v>
      </x:c>
      <x:c r="E17" s="15"/>
      <x:c r="F17" s="15"/>
      <x:c r="G17" s="15"/>
      <x:c r="H17" s="15"/>
      <x:c r="I17" s="15"/>
      <x:c r="J17" s="15"/>
      <x:c r="K17" s="15"/>
      <x:c r="L17" s="15"/>
      <x:c r="M17" s="16">
        <x:f t="shared" si="0"/>
        <x:v>0</x:v>
      </x:c>
      <x:c r="N17" s="13"/>
    </x:row>
    <x:row r="18">
      <x:c r="A18" s="12" t="s">
        <x:v>8</x:v>
      </x:c>
      <x:c r="B18" s="13"/>
      <x:c r="C18" s="14" t="str">
        <x:v>szivattyú - melegvíz</x:v>
      </x:c>
      <x:c r="D18" s="12" t="str">
        <x:v>db</x:v>
      </x:c>
      <x:c r="E18" s="15"/>
      <x:c r="F18" s="15"/>
      <x:c r="G18" s="15"/>
      <x:c r="H18" s="15"/>
      <x:c r="I18" s="15"/>
      <x:c r="J18" s="15"/>
      <x:c r="K18" s="15"/>
      <x:c r="L18" s="15"/>
      <x:c r="M18" s="16">
        <x:f t="shared" si="0"/>
        <x:v>0</x:v>
      </x:c>
      <x:c r="N18" s="13"/>
    </x:row>
    <x:row r="19">
      <x:c r="A19" s="12" t="s">
        <x:v>9</x:v>
      </x:c>
      <x:c r="B19" s="13"/>
      <x:c r="C19" s="14" t="str">
        <x:v>szivattyú - kondenzátorvíz</x:v>
      </x:c>
      <x:c r="D19" s="12" t="str">
        <x:v>db</x:v>
      </x:c>
      <x:c r="E19" s="15"/>
      <x:c r="F19" s="15"/>
      <x:c r="G19" s="15"/>
      <x:c r="H19" s="15"/>
      <x:c r="I19" s="15"/>
      <x:c r="J19" s="15"/>
      <x:c r="K19" s="15"/>
      <x:c r="L19" s="15"/>
      <x:c r="M19" s="16">
        <x:f t="shared" si="0"/>
        <x:v>0</x:v>
      </x:c>
      <x:c r="N19" s="13"/>
    </x:row>
    <x:row r="20">
      <x:c r="A20" s="12" t="s">
        <x:v>10</x:v>
      </x:c>
      <x:c r="B20" s="13"/>
      <x:c r="C20" s="14" t="str">
        <x:v>nyomástartó egység</x:v>
      </x:c>
      <x:c r="D20" s="12" t="str">
        <x:v>db</x:v>
      </x:c>
      <x:c r="E20" s="15"/>
      <x:c r="F20" s="15"/>
      <x:c r="G20" s="15"/>
      <x:c r="H20" s="15"/>
      <x:c r="I20" s="15"/>
      <x:c r="J20" s="15"/>
      <x:c r="K20" s="15"/>
      <x:c r="L20" s="15"/>
      <x:c r="M20" s="16">
        <x:f t="shared" si="0"/>
        <x:v>0</x:v>
      </x:c>
      <x:c r="N20" s="13"/>
    </x:row>
    <x:row r="21">
      <x:c r="A21" s="12" t="s">
        <x:v>11</x:v>
      </x:c>
      <x:c r="B21" s="13"/>
      <x:c r="C21" s="14" t="str">
        <x:v>tágulási tartály</x:v>
      </x:c>
      <x:c r="D21" s="12" t="str">
        <x:v>db</x:v>
      </x:c>
      <x:c r="E21" s="15"/>
      <x:c r="F21" s="15"/>
      <x:c r="G21" s="15"/>
      <x:c r="H21" s="15"/>
      <x:c r="I21" s="15"/>
      <x:c r="J21" s="15"/>
      <x:c r="K21" s="15"/>
      <x:c r="L21" s="15"/>
      <x:c r="M21" s="16">
        <x:f t="shared" si="0"/>
        <x:v>0</x:v>
      </x:c>
      <x:c r="N21" s="13"/>
    </x:row>
    <x:row r="22">
      <x:c r="A22" s="12" t="s">
        <x:v>12</x:v>
      </x:c>
      <x:c r="B22" s="13"/>
      <x:c r="C22" s="14" t="str">
        <x:v>lemezes hőcserélő</x:v>
      </x:c>
      <x:c r="D22" s="12" t="str">
        <x:v>db</x:v>
      </x:c>
      <x:c r="E22" s="15"/>
      <x:c r="F22" s="15"/>
      <x:c r="G22" s="15"/>
      <x:c r="H22" s="15"/>
      <x:c r="I22" s="15"/>
      <x:c r="J22" s="15"/>
      <x:c r="K22" s="15"/>
      <x:c r="L22" s="15"/>
      <x:c r="M22" s="16">
        <x:f t="shared" si="0"/>
        <x:v>0</x:v>
      </x:c>
      <x:c r="N22" s="13"/>
    </x:row>
    <x:row r="23" ht="19.5" customHeight="1">
      <x:c r="A23" s="11"/>
      <x:c r="B23" s="6" t="str">
        <x:v>LÉGKEZELŐ BERENDEZÉSEK</x:v>
      </x:c>
      <x:c r="C23" s="6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</x:row>
    <x:row r="24">
      <x:c r="A24" s="12" t="s">
        <x:v>13</x:v>
      </x:c>
      <x:c r="B24" s="13"/>
      <x:c r="C24" s="14" t="str">
        <x:v>légkezelő - tetőre telepített kompakt (L/s: ___)</x:v>
      </x:c>
      <x:c r="D24" s="12" t="str">
        <x:v>db</x:v>
      </x:c>
      <x:c r="E24" s="15"/>
      <x:c r="F24" s="15"/>
      <x:c r="G24" s="15"/>
      <x:c r="H24" s="15"/>
      <x:c r="I24" s="15"/>
      <x:c r="J24" s="15"/>
      <x:c r="K24" s="15"/>
      <x:c r="L24" s="15"/>
      <x:c r="M24" s="16" t="n">
        <x:f t="shared" ref="M24:M30" si="1">SUM(E24:L24)</x:f>
        <x:v>0</x:v>
      </x:c>
      <x:c r="N24" s="13"/>
    </x:row>
    <x:row r="25">
      <x:c r="A25" s="12" t="s">
        <x:v>14</x:v>
      </x:c>
      <x:c r="B25" s="13"/>
      <x:c r="C25" s="14" t="str">
        <x:v>légkezelő - beltéri álló kivitelű (L/s: ___)</x:v>
      </x:c>
      <x:c r="D25" s="12" t="str">
        <x:v>db</x:v>
      </x:c>
      <x:c r="E25" s="15"/>
      <x:c r="F25" s="15"/>
      <x:c r="G25" s="15"/>
      <x:c r="H25" s="15"/>
      <x:c r="I25" s="15"/>
      <x:c r="J25" s="15"/>
      <x:c r="K25" s="15"/>
      <x:c r="L25" s="15"/>
      <x:c r="M25" s="16">
        <x:f t="shared" si="1"/>
        <x:v>0</x:v>
      </x:c>
      <x:c r="N25" s="13"/>
    </x:row>
    <x:row r="26">
      <x:c r="A26" s="12" t="s">
        <x:v>15</x:v>
      </x:c>
      <x:c r="B26" s="13"/>
      <x:c r="C26" s="14" t="str">
        <x:v>légkezelő - DOAS / frisslevegő-kezelő egység (L/s: ___)</x:v>
      </x:c>
      <x:c r="D26" s="12" t="str">
        <x:v>db</x:v>
      </x:c>
      <x:c r="E26" s="15"/>
      <x:c r="F26" s="15"/>
      <x:c r="G26" s="15"/>
      <x:c r="H26" s="15"/>
      <x:c r="I26" s="15"/>
      <x:c r="J26" s="15"/>
      <x:c r="K26" s="15"/>
      <x:c r="L26" s="15"/>
      <x:c r="M26" s="16">
        <x:f t="shared" si="1"/>
        <x:v>0</x:v>
      </x:c>
      <x:c r="N26" s="13"/>
    </x:row>
    <x:row r="27">
      <x:c r="A27" s="12" t="s">
        <x:v>16</x:v>
      </x:c>
      <x:c r="B27" s="13"/>
      <x:c r="C27" s="14" t="str">
        <x:v>légpótló berendezés (L/s: ___)</x:v>
      </x:c>
      <x:c r="D27" s="12" t="str">
        <x:v>db</x:v>
      </x:c>
      <x:c r="E27" s="15"/>
      <x:c r="F27" s="15"/>
      <x:c r="G27" s="15"/>
      <x:c r="H27" s="15"/>
      <x:c r="I27" s="15"/>
      <x:c r="J27" s="15"/>
      <x:c r="K27" s="15"/>
      <x:c r="L27" s="15"/>
      <x:c r="M27" s="16">
        <x:f t="shared" si="1"/>
        <x:v>0</x:v>
      </x:c>
      <x:c r="N27" s="13"/>
    </x:row>
    <x:row r="28">
      <x:c r="A28" s="12" t="s">
        <x:v>17</x:v>
      </x:c>
      <x:c r="B28" s="13"/>
      <x:c r="C28" s="14" t="str">
        <x:v>hővisszanyerős egység / forgódobos hővisszanyerő</x:v>
      </x:c>
      <x:c r="D28" s="12" t="str">
        <x:v>db</x:v>
      </x:c>
      <x:c r="E28" s="15"/>
      <x:c r="F28" s="15"/>
      <x:c r="G28" s="15"/>
      <x:c r="H28" s="15"/>
      <x:c r="I28" s="15"/>
      <x:c r="J28" s="15"/>
      <x:c r="K28" s="15"/>
      <x:c r="L28" s="15"/>
      <x:c r="M28" s="16">
        <x:f t="shared" si="1"/>
        <x:v>0</x:v>
      </x:c>
      <x:c r="N28" s="13"/>
    </x:row>
    <x:row r="29">
      <x:c r="A29" s="12" t="s">
        <x:v>18</x:v>
      </x:c>
      <x:c r="B29" s="13"/>
      <x:c r="C29" s="14" t="str">
        <x:v>rezgésszigetelés set (springs / pads)</x:v>
      </x:c>
      <x:c r="D29" s="12" t="str">
        <x:v>klt.</x:v>
      </x:c>
      <x:c r="E29" s="15"/>
      <x:c r="F29" s="15"/>
      <x:c r="G29" s="15"/>
      <x:c r="H29" s="15"/>
      <x:c r="I29" s="15"/>
      <x:c r="J29" s="15"/>
      <x:c r="K29" s="15"/>
      <x:c r="L29" s="15"/>
      <x:c r="M29" s="16">
        <x:f t="shared" si="1"/>
        <x:v>0</x:v>
      </x:c>
      <x:c r="N29" s="13"/>
    </x:row>
    <x:row r="30">
      <x:c r="A30" s="12" t="s">
        <x:v>19</x:v>
      </x:c>
      <x:c r="B30" s="13"/>
      <x:c r="C30" s="14" t="s">
        <x:v>20</x:v>
      </x:c>
      <x:c r="D30" s="12" t="str">
        <x:v>db</x:v>
      </x:c>
      <x:c r="E30" s="15"/>
      <x:c r="F30" s="15"/>
      <x:c r="G30" s="15"/>
      <x:c r="H30" s="15"/>
      <x:c r="I30" s="15"/>
      <x:c r="J30" s="15"/>
      <x:c r="K30" s="15"/>
      <x:c r="L30" s="15"/>
      <x:c r="M30" s="16">
        <x:f t="shared" si="1"/>
        <x:v>0</x:v>
      </x:c>
      <x:c r="N30" s="13"/>
    </x:row>
    <x:row r="31" ht="19.5" customHeight="1">
      <x:c r="A31" s="11"/>
      <x:c r="B31" s="6" t="str">
        <x:v>TERMINÁL BERENDEZÉSEK</x:v>
      </x:c>
      <x:c r="C31" s="6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</x:row>
    <x:row r="32">
      <x:c r="A32" s="12" t="s">
        <x:v>21</x:v>
      </x:c>
      <x:c r="B32" s="13"/>
      <x:c r="C32" s="14" t="str">
        <x:v>fan-coil - álmennyezetbe süllyesztett (L/s: ___)</x:v>
      </x:c>
      <x:c r="D32" s="12" t="str">
        <x:v>db</x:v>
      </x:c>
      <x:c r="E32" s="15"/>
      <x:c r="F32" s="15"/>
      <x:c r="G32" s="15"/>
      <x:c r="H32" s="15"/>
      <x:c r="I32" s="15"/>
      <x:c r="J32" s="15"/>
      <x:c r="K32" s="15"/>
      <x:c r="L32" s="15"/>
      <x:c r="M32" s="16" t="n">
        <x:f t="shared" ref="M32:M43" si="2">SUM(E32:L32)</x:f>
        <x:v>0</x:v>
      </x:c>
      <x:c r="N32" s="13"/>
    </x:row>
    <x:row r="33">
      <x:c r="A33" s="12" t="s">
        <x:v>22</x:v>
      </x:c>
      <x:c r="B33" s="13"/>
      <x:c r="C33" s="14" t="str">
        <x:v>fan-coil - mennyezet alatt látszó / légcsatornába épített</x:v>
      </x:c>
      <x:c r="D33" s="12" t="str">
        <x:v>db</x:v>
      </x:c>
      <x:c r="E33" s="15"/>
      <x:c r="F33" s="15"/>
      <x:c r="G33" s="15"/>
      <x:c r="H33" s="15"/>
      <x:c r="I33" s="15"/>
      <x:c r="J33" s="15"/>
      <x:c r="K33" s="15"/>
      <x:c r="L33" s="15"/>
      <x:c r="M33" s="16">
        <x:f t="shared" si="2"/>
        <x:v>0</x:v>
      </x:c>
      <x:c r="N33" s="13"/>
    </x:row>
    <x:row r="34">
      <x:c r="A34" s="12" t="s">
        <x:v>23</x:v>
      </x:c>
      <x:c r="B34" s="13"/>
      <x:c r="C34" s="14" t="str">
        <x:v>fan-coil - fali / cassette</x:v>
      </x:c>
      <x:c r="D34" s="12" t="str">
        <x:v>db</x:v>
      </x:c>
      <x:c r="E34" s="15"/>
      <x:c r="F34" s="15"/>
      <x:c r="G34" s="15"/>
      <x:c r="H34" s="15"/>
      <x:c r="I34" s="15"/>
      <x:c r="J34" s="15"/>
      <x:c r="K34" s="15"/>
      <x:c r="L34" s="15"/>
      <x:c r="M34" s="16">
        <x:f t="shared" si="2"/>
        <x:v>0</x:v>
      </x:c>
      <x:c r="N34" s="13"/>
    </x:row>
    <x:row r="35">
      <x:c r="A35" s="12" t="s">
        <x:v>24</x:v>
      </x:c>
      <x:c r="B35" s="13"/>
      <x:c r="C35" s="14" t="str">
        <x:v>fan-coil - függőleges álló kivitelű</x:v>
      </x:c>
      <x:c r="D35" s="12" t="str">
        <x:v>db</x:v>
      </x:c>
      <x:c r="E35" s="15"/>
      <x:c r="F35" s="15"/>
      <x:c r="G35" s="15"/>
      <x:c r="H35" s="15"/>
      <x:c r="I35" s="15"/>
      <x:c r="J35" s="15"/>
      <x:c r="K35" s="15"/>
      <x:c r="L35" s="15"/>
      <x:c r="M35" s="16">
        <x:f t="shared" si="2"/>
        <x:v>0</x:v>
      </x:c>
      <x:c r="N35" s="13"/>
    </x:row>
    <x:row r="36">
      <x:c r="A36" s="12" t="s">
        <x:v>25</x:v>
      </x:c>
      <x:c r="B36" s="13"/>
      <x:c r="C36" s="14" t="s">
        <x:v>26</x:v>
      </x:c>
      <x:c r="D36" s="12" t="str">
        <x:v>db</x:v>
      </x:c>
      <x:c r="E36" s="15"/>
      <x:c r="F36" s="15"/>
      <x:c r="G36" s="15"/>
      <x:c r="H36" s="15"/>
      <x:c r="I36" s="15"/>
      <x:c r="J36" s="15"/>
      <x:c r="K36" s="15"/>
      <x:c r="L36" s="15"/>
      <x:c r="M36" s="16">
        <x:f t="shared" si="2"/>
        <x:v>0</x:v>
      </x:c>
      <x:c r="N36" s="13"/>
    </x:row>
    <x:row r="37">
      <x:c r="A37" s="12" t="s">
        <x:v>27</x:v>
      </x:c>
      <x:c r="B37" s="13"/>
      <x:c r="C37" s="14" t="s">
        <x:v>28</x:v>
      </x:c>
      <x:c r="D37" s="12" t="str">
        <x:v>db</x:v>
      </x:c>
      <x:c r="E37" s="15"/>
      <x:c r="F37" s="15"/>
      <x:c r="G37" s="15"/>
      <x:c r="H37" s="15"/>
      <x:c r="I37" s="15"/>
      <x:c r="J37" s="15"/>
      <x:c r="K37" s="15"/>
      <x:c r="L37" s="15"/>
      <x:c r="M37" s="16">
        <x:f t="shared" si="2"/>
        <x:v>0</x:v>
      </x:c>
      <x:c r="N37" s="13"/>
    </x:row>
    <x:row r="38">
      <x:c r="A38" s="12" t="s">
        <x:v>29</x:v>
      </x:c>
      <x:c r="B38" s="13"/>
      <x:c r="C38" s="14" t="str">
        <x:v>VRF beltéri egység (cassette / légcsatornás / wall)</x:v>
      </x:c>
      <x:c r="D38" s="12" t="str">
        <x:v>db</x:v>
      </x:c>
      <x:c r="E38" s="15"/>
      <x:c r="F38" s="15"/>
      <x:c r="G38" s="15"/>
      <x:c r="H38" s="15"/>
      <x:c r="I38" s="15"/>
      <x:c r="J38" s="15"/>
      <x:c r="K38" s="15"/>
      <x:c r="L38" s="15"/>
      <x:c r="M38" s="16">
        <x:f t="shared" si="2"/>
        <x:v>0</x:v>
      </x:c>
      <x:c r="N38" s="13"/>
    </x:row>
    <x:row r="39">
      <x:c r="A39" s="12" t="s">
        <x:v>30</x:v>
      </x:c>
      <x:c r="B39" s="13"/>
      <x:c r="C39" s="14" t="str">
        <x:v>VRF kültéri egység (HP: ___)</x:v>
      </x:c>
      <x:c r="D39" s="12" t="str">
        <x:v>db</x:v>
      </x:c>
      <x:c r="E39" s="15"/>
      <x:c r="F39" s="15"/>
      <x:c r="G39" s="15"/>
      <x:c r="H39" s="15"/>
      <x:c r="I39" s="15"/>
      <x:c r="J39" s="15"/>
      <x:c r="K39" s="15"/>
      <x:c r="L39" s="15"/>
      <x:c r="M39" s="16">
        <x:f t="shared" si="2"/>
        <x:v>0</x:v>
      </x:c>
      <x:c r="N39" s="13"/>
    </x:row>
    <x:row r="40">
      <x:c r="A40" s="12" t="s">
        <x:v>31</x:v>
      </x:c>
      <x:c r="B40" s="13"/>
      <x:c r="C40" s="14" t="str">
        <x:v>split rendszer - beltéri unit</x:v>
      </x:c>
      <x:c r="D40" s="12" t="str">
        <x:v>db</x:v>
      </x:c>
      <x:c r="E40" s="15"/>
      <x:c r="F40" s="15"/>
      <x:c r="G40" s="15"/>
      <x:c r="H40" s="15"/>
      <x:c r="I40" s="15"/>
      <x:c r="J40" s="15"/>
      <x:c r="K40" s="15"/>
      <x:c r="L40" s="15"/>
      <x:c r="M40" s="16">
        <x:f t="shared" si="2"/>
        <x:v>0</x:v>
      </x:c>
      <x:c r="N40" s="13"/>
    </x:row>
    <x:row r="41">
      <x:c r="A41" s="12" t="s">
        <x:v>32</x:v>
      </x:c>
      <x:c r="B41" s="13"/>
      <x:c r="C41" s="14" t="str">
        <x:v>split rendszer - kültéri unit</x:v>
      </x:c>
      <x:c r="D41" s="12" t="str">
        <x:v>db</x:v>
      </x:c>
      <x:c r="E41" s="15"/>
      <x:c r="F41" s="15"/>
      <x:c r="G41" s="15"/>
      <x:c r="H41" s="15"/>
      <x:c r="I41" s="15"/>
      <x:c r="J41" s="15"/>
      <x:c r="K41" s="15"/>
      <x:c r="L41" s="15"/>
      <x:c r="M41" s="16">
        <x:f t="shared" si="2"/>
        <x:v>0</x:v>
      </x:c>
      <x:c r="N41" s="13"/>
    </x:row>
    <x:row r="42">
      <x:c r="A42" s="12" t="s">
        <x:v>33</x:v>
      </x:c>
      <x:c r="B42" s="13"/>
      <x:c r="C42" s="14" t="str">
        <x:v>leágazásvezérlő (VRF)</x:v>
      </x:c>
      <x:c r="D42" s="12" t="str">
        <x:v>db</x:v>
      </x:c>
      <x:c r="E42" s="15"/>
      <x:c r="F42" s="15"/>
      <x:c r="G42" s="15"/>
      <x:c r="H42" s="15"/>
      <x:c r="I42" s="15"/>
      <x:c r="J42" s="15"/>
      <x:c r="K42" s="15"/>
      <x:c r="L42" s="15"/>
      <x:c r="M42" s="16">
        <x:f t="shared" si="2"/>
        <x:v>0</x:v>
      </x:c>
      <x:c r="N42" s="13"/>
    </x:row>
    <x:row r="43">
      <x:c r="A43" s="12" t="s">
        <x:v>34</x:v>
      </x:c>
      <x:c r="B43" s="13"/>
      <x:c r="C43" s="14" t="s">
        <x:v>35</x:v>
      </x:c>
      <x:c r="D43" s="12" t="str">
        <x:v>db</x:v>
      </x:c>
      <x:c r="E43" s="15"/>
      <x:c r="F43" s="15"/>
      <x:c r="G43" s="15"/>
      <x:c r="H43" s="15"/>
      <x:c r="I43" s="15"/>
      <x:c r="J43" s="15"/>
      <x:c r="K43" s="15"/>
      <x:c r="L43" s="15"/>
      <x:c r="M43" s="16">
        <x:f t="shared" si="2"/>
        <x:v>0</x:v>
      </x:c>
      <x:c r="N43" s="13"/>
    </x:row>
    <x:row r="44" ht="19.5" customHeight="1">
      <x:c r="A44" s="11"/>
      <x:c r="B44" s="6" t="str">
        <x:v>LÉGCSATORNA-HÁLÓZAT</x:v>
      </x:c>
      <x:c r="C44" s="6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</x:row>
    <x:row r="45">
      <x:c r="A45" s="12" t="s">
        <x:v>36</x:v>
      </x:c>
      <x:c r="B45" s="13"/>
      <x:c r="C45" s="14" t="str">
        <x:v>négyszög keresztmetszetű légcsatorna - horganyzott (méret: ___)</x:v>
      </x:c>
      <x:c r="D45" s="12" t="str">
        <x:v>fm</x:v>
      </x:c>
      <x:c r="E45" s="15"/>
      <x:c r="F45" s="15"/>
      <x:c r="G45" s="15"/>
      <x:c r="H45" s="15"/>
      <x:c r="I45" s="15"/>
      <x:c r="J45" s="15"/>
      <x:c r="K45" s="15"/>
      <x:c r="L45" s="15"/>
      <x:c r="M45" s="16" t="n">
        <x:f t="shared" ref="M45:M61" si="3">SUM(E45:L45)</x:f>
        <x:v>0</x:v>
      </x:c>
      <x:c r="N45" s="13"/>
    </x:row>
    <x:row r="46">
      <x:c r="A46" s="12" t="s">
        <x:v>37</x:v>
      </x:c>
      <x:c r="B46" s="13"/>
      <x:c r="C46" s="14" t="str">
        <x:v>spirálkorcolt / kör keresztmetszetű légcsatorna - horganyzott (átmérő: ___)</x:v>
      </x:c>
      <x:c r="D46" s="12" t="str">
        <x:v>fm</x:v>
      </x:c>
      <x:c r="E46" s="15"/>
      <x:c r="F46" s="15"/>
      <x:c r="G46" s="15"/>
      <x:c r="H46" s="15"/>
      <x:c r="I46" s="15"/>
      <x:c r="J46" s="15"/>
      <x:c r="K46" s="15"/>
      <x:c r="L46" s="15"/>
      <x:c r="M46" s="16">
        <x:f t="shared" si="3"/>
        <x:v>0</x:v>
      </x:c>
      <x:c r="N46" s="13"/>
    </x:row>
    <x:row r="47">
      <x:c r="A47" s="12" t="s">
        <x:v>38</x:v>
      </x:c>
      <x:c r="B47" s="13"/>
      <x:c r="C47" s="14" t="str">
        <x:v>flexibilis légcsatorna - szigetelt (átmérő: ___)</x:v>
      </x:c>
      <x:c r="D47" s="12" t="str">
        <x:v>fm</x:v>
      </x:c>
      <x:c r="E47" s="15"/>
      <x:c r="F47" s="15"/>
      <x:c r="G47" s="15"/>
      <x:c r="H47" s="15"/>
      <x:c r="I47" s="15"/>
      <x:c r="J47" s="15"/>
      <x:c r="K47" s="15"/>
      <x:c r="L47" s="15"/>
      <x:c r="M47" s="16">
        <x:f t="shared" si="3"/>
        <x:v>0</x:v>
      </x:c>
      <x:c r="N47" s="13"/>
    </x:row>
    <x:row r="48">
      <x:c r="A48" s="12" t="s">
        <x:v>39</x:v>
      </x:c>
      <x:c r="B48" s="13"/>
      <x:c r="C48" s="14" t="str">
        <x:v>négyszög keresztmetszetű légcsatorna idomok (ív idomok/T-idomok/átmeneti idomok)</x:v>
      </x:c>
      <x:c r="D48" s="12" t="str">
        <x:v>db</x:v>
      </x:c>
      <x:c r="E48" s="15"/>
      <x:c r="F48" s="15"/>
      <x:c r="G48" s="15"/>
      <x:c r="H48" s="15"/>
      <x:c r="I48" s="15"/>
      <x:c r="J48" s="15"/>
      <x:c r="K48" s="15"/>
      <x:c r="L48" s="15"/>
      <x:c r="M48" s="16">
        <x:f t="shared" si="3"/>
        <x:v>0</x:v>
      </x:c>
      <x:c r="N48" s="13"/>
    </x:row>
    <x:row r="49">
      <x:c r="A49" s="12" t="s">
        <x:v>40</x:v>
      </x:c>
      <x:c r="B49" s="13"/>
      <x:c r="C49" s="14" t="str">
        <x:v>spirálkorcolt légcsatorna idomok (ív idomok/T-idomok/szűkítők)</x:v>
      </x:c>
      <x:c r="D49" s="12" t="str">
        <x:v>db</x:v>
      </x:c>
      <x:c r="E49" s="15"/>
      <x:c r="F49" s="15"/>
      <x:c r="G49" s="15"/>
      <x:c r="H49" s="15"/>
      <x:c r="I49" s="15"/>
      <x:c r="J49" s="15"/>
      <x:c r="K49" s="15"/>
      <x:c r="L49" s="15"/>
      <x:c r="M49" s="16">
        <x:f t="shared" si="3"/>
        <x:v>0</x:v>
      </x:c>
      <x:c r="N49" s="13"/>
    </x:row>
    <x:row r="50">
      <x:c r="A50" s="12" t="s">
        <x:v>41</x:v>
      </x:c>
      <x:c r="B50" s="13"/>
      <x:c r="C50" s="14" t="str">
        <x:v>légmennyiség-szabályozó csappantyú (VCD)</x:v>
      </x:c>
      <x:c r="D50" s="12" t="str">
        <x:v>db</x:v>
      </x:c>
      <x:c r="E50" s="15"/>
      <x:c r="F50" s="15"/>
      <x:c r="G50" s="15"/>
      <x:c r="H50" s="15"/>
      <x:c r="I50" s="15"/>
      <x:c r="J50" s="15"/>
      <x:c r="K50" s="15"/>
      <x:c r="L50" s="15"/>
      <x:c r="M50" s="16">
        <x:f t="shared" si="3"/>
        <x:v>0</x:v>
      </x:c>
      <x:c r="N50" s="13"/>
    </x:row>
    <x:row r="51">
      <x:c r="A51" s="12" t="s">
        <x:v>42</x:v>
      </x:c>
      <x:c r="B51" s="13"/>
      <x:c r="C51" s="14" t="str">
        <x:v>motoros csappantyú (MD) - nyit/zár</x:v>
      </x:c>
      <x:c r="D51" s="12" t="str">
        <x:v>db</x:v>
      </x:c>
      <x:c r="E51" s="15"/>
      <x:c r="F51" s="15"/>
      <x:c r="G51" s="15"/>
      <x:c r="H51" s="15"/>
      <x:c r="I51" s="15"/>
      <x:c r="J51" s="15"/>
      <x:c r="K51" s="15"/>
      <x:c r="L51" s="15"/>
      <x:c r="M51" s="16">
        <x:f t="shared" si="3"/>
        <x:v>0</x:v>
      </x:c>
      <x:c r="N51" s="13"/>
    </x:row>
    <x:row r="52">
      <x:c r="A52" s="12" t="s">
        <x:v>43</x:v>
      </x:c>
      <x:c r="B52" s="13"/>
      <x:c r="C52" s="14" t="str">
        <x:v>motoros csappantyú (MD) - moduláló</x:v>
      </x:c>
      <x:c r="D52" s="12" t="str">
        <x:v>db</x:v>
      </x:c>
      <x:c r="E52" s="15"/>
      <x:c r="F52" s="15"/>
      <x:c r="G52" s="15"/>
      <x:c r="H52" s="15"/>
      <x:c r="I52" s="15"/>
      <x:c r="J52" s="15"/>
      <x:c r="K52" s="15"/>
      <x:c r="L52" s="15"/>
      <x:c r="M52" s="16">
        <x:f t="shared" si="3"/>
        <x:v>0</x:v>
      </x:c>
      <x:c r="N52" s="13"/>
    </x:row>
    <x:row r="53">
      <x:c r="A53" s="12" t="s">
        <x:v>44</x:v>
      </x:c>
      <x:c r="B53" s="13"/>
      <x:c r="C53" s="14" t="str">
        <x:v>tűzcsappantyú (FD) - négyszög keresztmetszetű</x:v>
      </x:c>
      <x:c r="D53" s="12" t="str">
        <x:v>db</x:v>
      </x:c>
      <x:c r="E53" s="15"/>
      <x:c r="F53" s="15"/>
      <x:c r="G53" s="15"/>
      <x:c r="H53" s="15"/>
      <x:c r="I53" s="15"/>
      <x:c r="J53" s="15"/>
      <x:c r="K53" s="15"/>
      <x:c r="L53" s="15"/>
      <x:c r="M53" s="16">
        <x:f t="shared" si="3"/>
        <x:v>0</x:v>
      </x:c>
      <x:c r="N53" s="13"/>
    </x:row>
    <x:row r="54">
      <x:c r="A54" s="12" t="s">
        <x:v>45</x:v>
      </x:c>
      <x:c r="B54" s="13"/>
      <x:c r="C54" s="14" t="str">
        <x:v>tűzcsappantyú (FD) - kör keresztmetszetű</x:v>
      </x:c>
      <x:c r="D54" s="12" t="str">
        <x:v>db</x:v>
      </x:c>
      <x:c r="E54" s="15"/>
      <x:c r="F54" s="15"/>
      <x:c r="G54" s="15"/>
      <x:c r="H54" s="15"/>
      <x:c r="I54" s="15"/>
      <x:c r="J54" s="15"/>
      <x:c r="K54" s="15"/>
      <x:c r="L54" s="15"/>
      <x:c r="M54" s="16">
        <x:f t="shared" si="3"/>
        <x:v>0</x:v>
      </x:c>
      <x:c r="N54" s="13"/>
    </x:row>
    <x:row r="55">
      <x:c r="A55" s="12" t="s">
        <x:v>46</x:v>
      </x:c>
      <x:c r="B55" s="13"/>
      <x:c r="C55" s="14" t="str">
        <x:v>füstcsappantyú (SD)</x:v>
      </x:c>
      <x:c r="D55" s="12" t="str">
        <x:v>db</x:v>
      </x:c>
      <x:c r="E55" s="15"/>
      <x:c r="F55" s="15"/>
      <x:c r="G55" s="15"/>
      <x:c r="H55" s="15"/>
      <x:c r="I55" s="15"/>
      <x:c r="J55" s="15"/>
      <x:c r="K55" s="15"/>
      <x:c r="L55" s="15"/>
      <x:c r="M55" s="16">
        <x:f t="shared" si="3"/>
        <x:v>0</x:v>
      </x:c>
      <x:c r="N55" s="13"/>
    </x:row>
    <x:row r="56">
      <x:c r="A56" s="12" t="s">
        <x:v>47</x:v>
      </x:c>
      <x:c r="B56" s="13"/>
      <x:c r="C56" s="14" t="s">
        <x:v>48</x:v>
      </x:c>
      <x:c r="D56" s="12" t="str">
        <x:v>db</x:v>
      </x:c>
      <x:c r="E56" s="15"/>
      <x:c r="F56" s="15"/>
      <x:c r="G56" s="15"/>
      <x:c r="H56" s="15"/>
      <x:c r="I56" s="15"/>
      <x:c r="J56" s="15"/>
      <x:c r="K56" s="15"/>
      <x:c r="L56" s="15"/>
      <x:c r="M56" s="16">
        <x:f t="shared" si="3"/>
        <x:v>0</x:v>
      </x:c>
      <x:c r="N56" s="13"/>
    </x:row>
    <x:row r="57">
      <x:c r="A57" s="12" t="s">
        <x:v>49</x:v>
      </x:c>
      <x:c r="B57" s="13"/>
      <x:c r="C57" s="14" t="str">
        <x:v>flexibilis légcsatorna csatlakozás (vászonbetétes/neoprén)</x:v>
      </x:c>
      <x:c r="D57" s="12" t="str">
        <x:v>db</x:v>
      </x:c>
      <x:c r="E57" s="15"/>
      <x:c r="F57" s="15"/>
      <x:c r="G57" s="15"/>
      <x:c r="H57" s="15"/>
      <x:c r="I57" s="15"/>
      <x:c r="J57" s="15"/>
      <x:c r="K57" s="15"/>
      <x:c r="L57" s="15"/>
      <x:c r="M57" s="16">
        <x:f t="shared" si="3"/>
        <x:v>0</x:v>
      </x:c>
      <x:c r="N57" s="13"/>
    </x:row>
    <x:row r="58">
      <x:c r="A58" s="12" t="s">
        <x:v>50</x:v>
      </x:c>
      <x:c r="B58" s="13"/>
      <x:c r="C58" s="14" t="str">
        <x:v>szerelőnyílás (in légcsatorna)</x:v>
      </x:c>
      <x:c r="D58" s="12" t="str">
        <x:v>db</x:v>
      </x:c>
      <x:c r="E58" s="15"/>
      <x:c r="F58" s="15"/>
      <x:c r="G58" s="15"/>
      <x:c r="H58" s="15"/>
      <x:c r="I58" s="15"/>
      <x:c r="J58" s="15"/>
      <x:c r="K58" s="15"/>
      <x:c r="L58" s="15"/>
      <x:c r="M58" s="16">
        <x:f t="shared" si="3"/>
        <x:v>0</x:v>
      </x:c>
      <x:c r="N58" s="13"/>
    </x:row>
    <x:row r="59">
      <x:c r="A59" s="12" t="s">
        <x:v>51</x:v>
      </x:c>
      <x:c r="B59" s="13"/>
      <x:c r="C59" s="14" t="str">
        <x:v>mennyezet szerelőnyílás (fire-rated)</x:v>
      </x:c>
      <x:c r="D59" s="12" t="str">
        <x:v>db</x:v>
      </x:c>
      <x:c r="E59" s="15"/>
      <x:c r="F59" s="15"/>
      <x:c r="G59" s="15"/>
      <x:c r="H59" s="15"/>
      <x:c r="I59" s="15"/>
      <x:c r="J59" s="15"/>
      <x:c r="K59" s="15"/>
      <x:c r="L59" s="15"/>
      <x:c r="M59" s="16">
        <x:f t="shared" si="3"/>
        <x:v>0</x:v>
      </x:c>
      <x:c r="N59" s="13"/>
    </x:row>
    <x:row r="60">
      <x:c r="A60" s="12" t="s">
        <x:v>52</x:v>
      </x:c>
      <x:c r="B60" s="13"/>
      <x:c r="C60" s="14" t="str">
        <x:v>légcsatorna szigetelés - külső kasírozás (50mm)</x:v>
      </x:c>
      <x:c r="D60" s="12" t="s">
        <x:v>53</x:v>
      </x:c>
      <x:c r="E60" s="15"/>
      <x:c r="F60" s="15"/>
      <x:c r="G60" s="15"/>
      <x:c r="H60" s="15"/>
      <x:c r="I60" s="15"/>
      <x:c r="J60" s="15"/>
      <x:c r="K60" s="15"/>
      <x:c r="L60" s="15"/>
      <x:c r="M60" s="16">
        <x:f t="shared" si="3"/>
        <x:v>0</x:v>
      </x:c>
      <x:c r="N60" s="13"/>
    </x:row>
    <x:row r="61">
      <x:c r="A61" s="12" t="s">
        <x:v>54</x:v>
      </x:c>
      <x:c r="B61" s="13"/>
      <x:c r="C61" s="14" t="str">
        <x:v>légcsatorna szigetelés - belső bélelés (50mm)</x:v>
      </x:c>
      <x:c r="D61" s="12" t="s">
        <x:v>53</x:v>
      </x:c>
      <x:c r="E61" s="15"/>
      <x:c r="F61" s="15"/>
      <x:c r="G61" s="15"/>
      <x:c r="H61" s="15"/>
      <x:c r="I61" s="15"/>
      <x:c r="J61" s="15"/>
      <x:c r="K61" s="15"/>
      <x:c r="L61" s="15"/>
      <x:c r="M61" s="16">
        <x:f t="shared" si="3"/>
        <x:v>0</x:v>
      </x:c>
      <x:c r="N61" s="13"/>
    </x:row>
    <x:row r="62" ht="19.5" customHeight="1">
      <x:c r="A62" s="11"/>
      <x:c r="B62" s="6" t="str">
        <x:v>LÉGELOSZTÁS</x:v>
      </x:c>
      <x:c r="C62" s="6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</x:row>
    <x:row r="63">
      <x:c r="A63" s="12" t="s">
        <x:v>55</x:v>
      </x:c>
      <x:c r="B63" s="13"/>
      <x:c r="C63" s="14" t="str">
        <x:v>négyzetes mennyezet anemosztát - négyirányú</x:v>
      </x:c>
      <x:c r="D63" s="12" t="str">
        <x:v>db</x:v>
      </x:c>
      <x:c r="E63" s="15"/>
      <x:c r="F63" s="15"/>
      <x:c r="G63" s="15"/>
      <x:c r="H63" s="15"/>
      <x:c r="I63" s="15"/>
      <x:c r="J63" s="15"/>
      <x:c r="K63" s="15"/>
      <x:c r="L63" s="15"/>
      <x:c r="M63" s="16" t="n">
        <x:f t="shared" ref="M63:M73" si="4">SUM(E63:L63)</x:f>
        <x:v>0</x:v>
      </x:c>
      <x:c r="N63" s="13"/>
    </x:row>
    <x:row r="64">
      <x:c r="A64" s="12" t="s">
        <x:v>56</x:v>
      </x:c>
      <x:c r="B64" s="13"/>
      <x:c r="C64" s="14" t="str">
        <x:v>résbefúvó</x:v>
      </x:c>
      <x:c r="D64" s="12" t="str">
        <x:v>db</x:v>
      </x:c>
      <x:c r="E64" s="15"/>
      <x:c r="F64" s="15"/>
      <x:c r="G64" s="15"/>
      <x:c r="H64" s="15"/>
      <x:c r="I64" s="15"/>
      <x:c r="J64" s="15"/>
      <x:c r="K64" s="15"/>
      <x:c r="L64" s="15"/>
      <x:c r="M64" s="16">
        <x:f t="shared" si="4"/>
        <x:v>0</x:v>
      </x:c>
      <x:c r="N64" s="13"/>
    </x:row>
    <x:row r="65">
      <x:c r="A65" s="12" t="s">
        <x:v>57</x:v>
      </x:c>
      <x:c r="B65" s="13"/>
      <x:c r="C65" s="14" t="str">
        <x:v>örvénybefúvó</x:v>
      </x:c>
      <x:c r="D65" s="12" t="str">
        <x:v>db</x:v>
      </x:c>
      <x:c r="E65" s="15"/>
      <x:c r="F65" s="15"/>
      <x:c r="G65" s="15"/>
      <x:c r="H65" s="15"/>
      <x:c r="I65" s="15"/>
      <x:c r="J65" s="15"/>
      <x:c r="K65" s="15"/>
      <x:c r="L65" s="15"/>
      <x:c r="M65" s="16">
        <x:f t="shared" si="4"/>
        <x:v>0</x:v>
      </x:c>
      <x:c r="N65" s="13"/>
    </x:row>
    <x:row r="66">
      <x:c r="A66" s="12" t="s">
        <x:v>58</x:v>
      </x:c>
      <x:c r="B66" s="13"/>
      <x:c r="C66" s="14" t="str">
        <x:v>fúvókás befúvó</x:v>
      </x:c>
      <x:c r="D66" s="12" t="str">
        <x:v>db</x:v>
      </x:c>
      <x:c r="E66" s="15"/>
      <x:c r="F66" s="15"/>
      <x:c r="G66" s="15"/>
      <x:c r="H66" s="15"/>
      <x:c r="I66" s="15"/>
      <x:c r="J66" s="15"/>
      <x:c r="K66" s="15"/>
      <x:c r="L66" s="15"/>
      <x:c r="M66" s="16">
        <x:f t="shared" si="4"/>
        <x:v>0</x:v>
      </x:c>
      <x:c r="N66" s="13"/>
    </x:row>
    <x:row r="67">
      <x:c r="A67" s="12" t="s">
        <x:v>59</x:v>
      </x:c>
      <x:c r="B67" s="13"/>
      <x:c r="C67" s="14" t="str">
        <x:v>padló / displacement anemosztát</x:v>
      </x:c>
      <x:c r="D67" s="12" t="str">
        <x:v>db</x:v>
      </x:c>
      <x:c r="E67" s="15"/>
      <x:c r="F67" s="15"/>
      <x:c r="G67" s="15"/>
      <x:c r="H67" s="15"/>
      <x:c r="I67" s="15"/>
      <x:c r="J67" s="15"/>
      <x:c r="K67" s="15"/>
      <x:c r="L67" s="15"/>
      <x:c r="M67" s="16">
        <x:f t="shared" si="4"/>
        <x:v>0</x:v>
      </x:c>
      <x:c r="N67" s="13"/>
    </x:row>
    <x:row r="68">
      <x:c r="A68" s="12" t="s">
        <x:v>60</x:v>
      </x:c>
      <x:c r="B68" s="13"/>
      <x:c r="C68" s="14" t="str">
        <x:v>elszívott / visszatérő levegő rács</x:v>
      </x:c>
      <x:c r="D68" s="12" t="str">
        <x:v>db</x:v>
      </x:c>
      <x:c r="E68" s="15"/>
      <x:c r="F68" s="15"/>
      <x:c r="G68" s="15"/>
      <x:c r="H68" s="15"/>
      <x:c r="I68" s="15"/>
      <x:c r="J68" s="15"/>
      <x:c r="K68" s="15"/>
      <x:c r="L68" s="15"/>
      <x:c r="M68" s="16">
        <x:f t="shared" si="4"/>
        <x:v>0</x:v>
      </x:c>
      <x:c r="N68" s="13"/>
    </x:row>
    <x:row r="69">
      <x:c r="A69" s="12" t="s">
        <x:v>61</x:v>
      </x:c>
      <x:c r="B69" s="13"/>
      <x:c r="C69" s="14" t="str">
        <x:v>Transfer rács / ajtó rács</x:v>
      </x:c>
      <x:c r="D69" s="12" t="str">
        <x:v>db</x:v>
      </x:c>
      <x:c r="E69" s="15"/>
      <x:c r="F69" s="15"/>
      <x:c r="G69" s="15"/>
      <x:c r="H69" s="15"/>
      <x:c r="I69" s="15"/>
      <x:c r="J69" s="15"/>
      <x:c r="K69" s="15"/>
      <x:c r="L69" s="15"/>
      <x:c r="M69" s="16">
        <x:f t="shared" si="4"/>
        <x:v>0</x:v>
      </x:c>
      <x:c r="N69" s="13"/>
    </x:row>
    <x:row r="70">
      <x:c r="A70" s="12" t="s">
        <x:v>62</x:v>
      </x:c>
      <x:c r="B70" s="13"/>
      <x:c r="C70" s="14" t="str">
        <x:v>Egg crate rács</x:v>
      </x:c>
      <x:c r="D70" s="12" t="str">
        <x:v>db</x:v>
      </x:c>
      <x:c r="E70" s="15"/>
      <x:c r="F70" s="15"/>
      <x:c r="G70" s="15"/>
      <x:c r="H70" s="15"/>
      <x:c r="I70" s="15"/>
      <x:c r="J70" s="15"/>
      <x:c r="K70" s="15"/>
      <x:c r="L70" s="15"/>
      <x:c r="M70" s="16">
        <x:f t="shared" si="4"/>
        <x:v>0</x:v>
      </x:c>
      <x:c r="N70" s="13"/>
    </x:row>
    <x:row r="71">
      <x:c r="A71" s="12" t="s">
        <x:v>63</x:v>
      </x:c>
      <x:c r="B71" s="13"/>
      <x:c r="C71" s="14" t="str">
        <x:v>External esővédő zsalu</x:v>
      </x:c>
      <x:c r="D71" s="12" t="s">
        <x:v>53</x:v>
      </x:c>
      <x:c r="E71" s="15"/>
      <x:c r="F71" s="15"/>
      <x:c r="G71" s="15"/>
      <x:c r="H71" s="15"/>
      <x:c r="I71" s="15"/>
      <x:c r="J71" s="15"/>
      <x:c r="K71" s="15"/>
      <x:c r="L71" s="15"/>
      <x:c r="M71" s="16">
        <x:f t="shared" si="4"/>
        <x:v>0</x:v>
      </x:c>
      <x:c r="N71" s="13"/>
    </x:row>
    <x:row r="72">
      <x:c r="A72" s="12" t="s">
        <x:v>64</x:v>
      </x:c>
      <x:c r="B72" s="13"/>
      <x:c r="C72" s="14" t="str">
        <x:v>homokfogó / akusztikus zsalu</x:v>
      </x:c>
      <x:c r="D72" s="12" t="s">
        <x:v>53</x:v>
      </x:c>
      <x:c r="E72" s="15"/>
      <x:c r="F72" s="15"/>
      <x:c r="G72" s="15"/>
      <x:c r="H72" s="15"/>
      <x:c r="I72" s="15"/>
      <x:c r="J72" s="15"/>
      <x:c r="K72" s="15"/>
      <x:c r="L72" s="15"/>
      <x:c r="M72" s="16">
        <x:f t="shared" si="4"/>
        <x:v>0</x:v>
      </x:c>
      <x:c r="N72" s="13"/>
    </x:row>
    <x:row r="73">
      <x:c r="A73" s="12" t="s">
        <x:v>65</x:v>
      </x:c>
      <x:c r="B73" s="13"/>
      <x:c r="C73" s="14" t="str">
        <x:v>nyomáskiegyenlítő doboz (above anemosztát)</x:v>
      </x:c>
      <x:c r="D73" s="12" t="str">
        <x:v>db</x:v>
      </x:c>
      <x:c r="E73" s="15"/>
      <x:c r="F73" s="15"/>
      <x:c r="G73" s="15"/>
      <x:c r="H73" s="15"/>
      <x:c r="I73" s="15"/>
      <x:c r="J73" s="15"/>
      <x:c r="K73" s="15"/>
      <x:c r="L73" s="15"/>
      <x:c r="M73" s="16">
        <x:f t="shared" si="4"/>
        <x:v>0</x:v>
      </x:c>
      <x:c r="N73" s="13"/>
    </x:row>
    <x:row r="74" ht="19.5" customHeight="1">
      <x:c r="A74" s="11"/>
      <x:c r="B74" s="6" t="str">
        <x:v>CSŐVEZETÉK-HÁLÓZAT</x:v>
      </x:c>
      <x:c r="C74" s="6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</x:row>
    <x:row r="75">
      <x:c r="A75" s="12" t="s">
        <x:v>66</x:v>
      </x:c>
      <x:c r="B75" s="13"/>
      <x:c r="C75" s="14" t="str">
        <x:v>hűtött víz cső - réz (méret: ___)</x:v>
      </x:c>
      <x:c r="D75" s="12" t="str">
        <x:v>fm</x:v>
      </x:c>
      <x:c r="E75" s="15"/>
      <x:c r="F75" s="15"/>
      <x:c r="G75" s="15"/>
      <x:c r="H75" s="15"/>
      <x:c r="I75" s="15"/>
      <x:c r="J75" s="15"/>
      <x:c r="K75" s="15"/>
      <x:c r="L75" s="15"/>
      <x:c r="M75" s="16" t="n">
        <x:f t="shared" ref="M75:M93" si="5">SUM(E75:L75)</x:f>
        <x:v>0</x:v>
      </x:c>
      <x:c r="N75" s="13"/>
    </x:row>
    <x:row r="76">
      <x:c r="A76" s="12" t="s">
        <x:v>67</x:v>
      </x:c>
      <x:c r="B76" s="13"/>
      <x:c r="C76" s="14" t="str">
        <x:v>hűtött víz cső - acél (méret: ___)</x:v>
      </x:c>
      <x:c r="D76" s="12" t="str">
        <x:v>fm</x:v>
      </x:c>
      <x:c r="E76" s="15"/>
      <x:c r="F76" s="15"/>
      <x:c r="G76" s="15"/>
      <x:c r="H76" s="15"/>
      <x:c r="I76" s="15"/>
      <x:c r="J76" s="15"/>
      <x:c r="K76" s="15"/>
      <x:c r="L76" s="15"/>
      <x:c r="M76" s="16">
        <x:f t="shared" si="5"/>
        <x:v>0</x:v>
      </x:c>
      <x:c r="N76" s="13"/>
    </x:row>
    <x:row r="77">
      <x:c r="A77" s="12" t="s">
        <x:v>68</x:v>
      </x:c>
      <x:c r="B77" s="13"/>
      <x:c r="C77" s="14" t="str">
        <x:v>melegvíz cső - acél (méret: ___)</x:v>
      </x:c>
      <x:c r="D77" s="12" t="str">
        <x:v>fm</x:v>
      </x:c>
      <x:c r="E77" s="15"/>
      <x:c r="F77" s="15"/>
      <x:c r="G77" s="15"/>
      <x:c r="H77" s="15"/>
      <x:c r="I77" s="15"/>
      <x:c r="J77" s="15"/>
      <x:c r="K77" s="15"/>
      <x:c r="L77" s="15"/>
      <x:c r="M77" s="16">
        <x:f t="shared" si="5"/>
        <x:v>0</x:v>
      </x:c>
      <x:c r="N77" s="13"/>
    </x:row>
    <x:row r="78">
      <x:c r="A78" s="12" t="s">
        <x:v>69</x:v>
      </x:c>
      <x:c r="B78" s="13"/>
      <x:c r="C78" s="14" t="str">
        <x:v>kondenzátorvíz cső (méret: ___)</x:v>
      </x:c>
      <x:c r="D78" s="12" t="str">
        <x:v>fm</x:v>
      </x:c>
      <x:c r="E78" s="15"/>
      <x:c r="F78" s="15"/>
      <x:c r="G78" s="15"/>
      <x:c r="H78" s="15"/>
      <x:c r="I78" s="15"/>
      <x:c r="J78" s="15"/>
      <x:c r="K78" s="15"/>
      <x:c r="L78" s="15"/>
      <x:c r="M78" s="16">
        <x:f t="shared" si="5"/>
        <x:v>0</x:v>
      </x:c>
      <x:c r="N78" s="13"/>
    </x:row>
    <x:row r="79">
      <x:c r="A79" s="12" t="s">
        <x:v>70</x:v>
      </x:c>
      <x:c r="B79" s="13"/>
      <x:c r="C79" s="14" t="str">
        <x:v>hűtőközeg cső - réz (méret: ___)</x:v>
      </x:c>
      <x:c r="D79" s="12" t="str">
        <x:v>fm</x:v>
      </x:c>
      <x:c r="E79" s="15"/>
      <x:c r="F79" s="15"/>
      <x:c r="G79" s="15"/>
      <x:c r="H79" s="15"/>
      <x:c r="I79" s="15"/>
      <x:c r="J79" s="15"/>
      <x:c r="K79" s="15"/>
      <x:c r="L79" s="15"/>
      <x:c r="M79" s="16">
        <x:f t="shared" si="5"/>
        <x:v>0</x:v>
      </x:c>
      <x:c r="N79" s="13"/>
    </x:row>
    <x:row r="80">
      <x:c r="A80" s="12" t="s">
        <x:v>71</x:v>
      </x:c>
      <x:c r="B80" s="13"/>
      <x:c r="C80" s="14" t="str">
        <x:v>kondenzvíz-elvezetés - uPVC (32mm)</x:v>
      </x:c>
      <x:c r="D80" s="12" t="str">
        <x:v>fm</x:v>
      </x:c>
      <x:c r="E80" s="15"/>
      <x:c r="F80" s="15"/>
      <x:c r="G80" s="15"/>
      <x:c r="H80" s="15"/>
      <x:c r="I80" s="15"/>
      <x:c r="J80" s="15"/>
      <x:c r="K80" s="15"/>
      <x:c r="L80" s="15"/>
      <x:c r="M80" s="16">
        <x:f t="shared" si="5"/>
        <x:v>0</x:v>
      </x:c>
      <x:c r="N80" s="13"/>
    </x:row>
    <x:row r="81">
      <x:c r="A81" s="12" t="s">
        <x:v>72</x:v>
      </x:c>
      <x:c r="B81" s="13"/>
      <x:c r="C81" s="14" t="str">
        <x:v>cső idomok (könyök idomok/T-idomok/szűkítők)</x:v>
      </x:c>
      <x:c r="D81" s="12" t="str">
        <x:v>db</x:v>
      </x:c>
      <x:c r="E81" s="15"/>
      <x:c r="F81" s="15"/>
      <x:c r="G81" s="15"/>
      <x:c r="H81" s="15"/>
      <x:c r="I81" s="15"/>
      <x:c r="J81" s="15"/>
      <x:c r="K81" s="15"/>
      <x:c r="L81" s="15"/>
      <x:c r="M81" s="16">
        <x:f t="shared" si="5"/>
        <x:v>0</x:v>
      </x:c>
      <x:c r="N81" s="13"/>
    </x:row>
    <x:row r="82">
      <x:c r="A82" s="12" t="s">
        <x:v>73</x:v>
      </x:c>
      <x:c r="B82" s="13"/>
      <x:c r="C82" s="14" t="str">
        <x:v>elzáró szelep - ball / butterfly</x:v>
      </x:c>
      <x:c r="D82" s="12" t="str">
        <x:v>db</x:v>
      </x:c>
      <x:c r="E82" s="15"/>
      <x:c r="F82" s="15"/>
      <x:c r="G82" s="15"/>
      <x:c r="H82" s="15"/>
      <x:c r="I82" s="15"/>
      <x:c r="J82" s="15"/>
      <x:c r="K82" s="15"/>
      <x:c r="L82" s="15"/>
      <x:c r="M82" s="16">
        <x:f t="shared" si="5"/>
        <x:v>0</x:v>
      </x:c>
      <x:c r="N82" s="13"/>
    </x:row>
    <x:row r="83">
      <x:c r="A83" s="12" t="s">
        <x:v>74</x:v>
      </x:c>
      <x:c r="B83" s="13"/>
      <x:c r="C83" s="14" t="str">
        <x:v>szabályozószelep - kétjáratú moduláló</x:v>
      </x:c>
      <x:c r="D83" s="12" t="str">
        <x:v>db</x:v>
      </x:c>
      <x:c r="E83" s="15"/>
      <x:c r="F83" s="15"/>
      <x:c r="G83" s="15"/>
      <x:c r="H83" s="15"/>
      <x:c r="I83" s="15"/>
      <x:c r="J83" s="15"/>
      <x:c r="K83" s="15"/>
      <x:c r="L83" s="15"/>
      <x:c r="M83" s="16">
        <x:f t="shared" si="5"/>
        <x:v>0</x:v>
      </x:c>
      <x:c r="N83" s="13"/>
    </x:row>
    <x:row r="84">
      <x:c r="A84" s="12" t="s">
        <x:v>75</x:v>
      </x:c>
      <x:c r="B84" s="13"/>
      <x:c r="C84" s="14" t="str">
        <x:v>szabályozószelep - háromjáratú moduláló</x:v>
      </x:c>
      <x:c r="D84" s="12" t="str">
        <x:v>db</x:v>
      </x:c>
      <x:c r="E84" s="15"/>
      <x:c r="F84" s="15"/>
      <x:c r="G84" s="15"/>
      <x:c r="H84" s="15"/>
      <x:c r="I84" s="15"/>
      <x:c r="J84" s="15"/>
      <x:c r="K84" s="15"/>
      <x:c r="L84" s="15"/>
      <x:c r="M84" s="16">
        <x:f t="shared" si="5"/>
        <x:v>0</x:v>
      </x:c>
      <x:c r="N84" s="13"/>
    </x:row>
    <x:row r="85">
      <x:c r="A85" s="12" t="s">
        <x:v>76</x:v>
      </x:c>
      <x:c r="B85" s="13"/>
      <x:c r="C85" s="14" t="str">
        <x:v>Balancing szelep (DRV / PICV)</x:v>
      </x:c>
      <x:c r="D85" s="12" t="str">
        <x:v>db</x:v>
      </x:c>
      <x:c r="E85" s="15"/>
      <x:c r="F85" s="15"/>
      <x:c r="G85" s="15"/>
      <x:c r="H85" s="15"/>
      <x:c r="I85" s="15"/>
      <x:c r="J85" s="15"/>
      <x:c r="K85" s="15"/>
      <x:c r="L85" s="15"/>
      <x:c r="M85" s="16">
        <x:f t="shared" si="5"/>
        <x:v>0</x:v>
      </x:c>
      <x:c r="N85" s="13"/>
    </x:row>
    <x:row r="86">
      <x:c r="A86" s="12" t="s">
        <x:v>77</x:v>
      </x:c>
      <x:c r="B86" s="13"/>
      <x:c r="C86" s="14" t="str">
        <x:v>szűrő - Y-kivitel</x:v>
      </x:c>
      <x:c r="D86" s="12" t="str">
        <x:v>db</x:v>
      </x:c>
      <x:c r="E86" s="15"/>
      <x:c r="F86" s="15"/>
      <x:c r="G86" s="15"/>
      <x:c r="H86" s="15"/>
      <x:c r="I86" s="15"/>
      <x:c r="J86" s="15"/>
      <x:c r="K86" s="15"/>
      <x:c r="L86" s="15"/>
      <x:c r="M86" s="16">
        <x:f t="shared" si="5"/>
        <x:v>0</x:v>
      </x:c>
      <x:c r="N86" s="13"/>
    </x:row>
    <x:row r="87">
      <x:c r="A87" s="12" t="s">
        <x:v>78</x:v>
      </x:c>
      <x:c r="B87" s="13"/>
      <x:c r="C87" s="14" t="str">
        <x:v>légtelenítő - automatikus</x:v>
      </x:c>
      <x:c r="D87" s="12" t="str">
        <x:v>db</x:v>
      </x:c>
      <x:c r="E87" s="15"/>
      <x:c r="F87" s="15"/>
      <x:c r="G87" s="15"/>
      <x:c r="H87" s="15"/>
      <x:c r="I87" s="15"/>
      <x:c r="J87" s="15"/>
      <x:c r="K87" s="15"/>
      <x:c r="L87" s="15"/>
      <x:c r="M87" s="16">
        <x:f t="shared" si="5"/>
        <x:v>0</x:v>
      </x:c>
      <x:c r="N87" s="13"/>
    </x:row>
    <x:row r="88">
      <x:c r="A88" s="12" t="s">
        <x:v>79</x:v>
      </x:c>
      <x:c r="B88" s="13"/>
      <x:c r="C88" s="14" t="str">
        <x:v>Drain szelep / drain point</x:v>
      </x:c>
      <x:c r="D88" s="12" t="str">
        <x:v>db</x:v>
      </x:c>
      <x:c r="E88" s="15"/>
      <x:c r="F88" s="15"/>
      <x:c r="G88" s="15"/>
      <x:c r="H88" s="15"/>
      <x:c r="I88" s="15"/>
      <x:c r="J88" s="15"/>
      <x:c r="K88" s="15"/>
      <x:c r="L88" s="15"/>
      <x:c r="M88" s="16">
        <x:f t="shared" si="5"/>
        <x:v>0</x:v>
      </x:c>
      <x:c r="N88" s="13"/>
    </x:row>
    <x:row r="89">
      <x:c r="A89" s="12" t="s">
        <x:v>80</x:v>
      </x:c>
      <x:c r="B89" s="13"/>
      <x:c r="C89" s="14" t="s">
        <x:v>81</x:v>
      </x:c>
      <x:c r="D89" s="12" t="str">
        <x:v>db</x:v>
      </x:c>
      <x:c r="E89" s="15"/>
      <x:c r="F89" s="15"/>
      <x:c r="G89" s="15"/>
      <x:c r="H89" s="15"/>
      <x:c r="I89" s="15"/>
      <x:c r="J89" s="15"/>
      <x:c r="K89" s="15"/>
      <x:c r="L89" s="15"/>
      <x:c r="M89" s="16">
        <x:f t="shared" si="5"/>
        <x:v>0</x:v>
      </x:c>
      <x:c r="N89" s="13"/>
    </x:row>
    <x:row r="90">
      <x:c r="A90" s="12" t="s">
        <x:v>82</x:v>
      </x:c>
      <x:c r="B90" s="13"/>
      <x:c r="C90" s="14" t="s">
        <x:v>83</x:v>
      </x:c>
      <x:c r="D90" s="12" t="str">
        <x:v>db</x:v>
      </x:c>
      <x:c r="E90" s="15"/>
      <x:c r="F90" s="15"/>
      <x:c r="G90" s="15"/>
      <x:c r="H90" s="15"/>
      <x:c r="I90" s="15"/>
      <x:c r="J90" s="15"/>
      <x:c r="K90" s="15"/>
      <x:c r="L90" s="15"/>
      <x:c r="M90" s="16">
        <x:f t="shared" si="5"/>
        <x:v>0</x:v>
      </x:c>
      <x:c r="N90" s="13"/>
    </x:row>
    <x:row r="91">
      <x:c r="A91" s="12" t="s">
        <x:v>84</x:v>
      </x:c>
      <x:c r="B91" s="13"/>
      <x:c r="C91" s="14" t="str">
        <x:v>Pipework hangers és tartószerkezetek</x:v>
      </x:c>
      <x:c r="D91" s="12" t="str">
        <x:v>db</x:v>
      </x:c>
      <x:c r="E91" s="15"/>
      <x:c r="F91" s="15"/>
      <x:c r="G91" s="15"/>
      <x:c r="H91" s="15"/>
      <x:c r="I91" s="15"/>
      <x:c r="J91" s="15"/>
      <x:c r="K91" s="15"/>
      <x:c r="L91" s="15"/>
      <x:c r="M91" s="16">
        <x:f t="shared" si="5"/>
        <x:v>0</x:v>
      </x:c>
      <x:c r="N91" s="13"/>
    </x:row>
    <x:row r="92">
      <x:c r="A92" s="12" t="s">
        <x:v>85</x:v>
      </x:c>
      <x:c r="B92" s="13"/>
      <x:c r="C92" s="14" t="str">
        <x:v>cső szigetelés - hűtött víz (Armaflex)</x:v>
      </x:c>
      <x:c r="D92" s="12" t="str">
        <x:v>fm</x:v>
      </x:c>
      <x:c r="E92" s="15"/>
      <x:c r="F92" s="15"/>
      <x:c r="G92" s="15"/>
      <x:c r="H92" s="15"/>
      <x:c r="I92" s="15"/>
      <x:c r="J92" s="15"/>
      <x:c r="K92" s="15"/>
      <x:c r="L92" s="15"/>
      <x:c r="M92" s="16">
        <x:f t="shared" si="5"/>
        <x:v>0</x:v>
      </x:c>
      <x:c r="N92" s="13"/>
    </x:row>
    <x:row r="93">
      <x:c r="A93" s="12" t="s">
        <x:v>86</x:v>
      </x:c>
      <x:c r="B93" s="13"/>
      <x:c r="C93" s="14" t="str">
        <x:v>cső szigetelés - melegvíz (mineral wool)</x:v>
      </x:c>
      <x:c r="D93" s="12" t="str">
        <x:v>fm</x:v>
      </x:c>
      <x:c r="E93" s="15"/>
      <x:c r="F93" s="15"/>
      <x:c r="G93" s="15"/>
      <x:c r="H93" s="15"/>
      <x:c r="I93" s="15"/>
      <x:c r="J93" s="15"/>
      <x:c r="K93" s="15"/>
      <x:c r="L93" s="15"/>
      <x:c r="M93" s="16">
        <x:f t="shared" si="5"/>
        <x:v>0</x:v>
      </x:c>
      <x:c r="N93" s="13"/>
    </x:row>
    <x:row r="94" ht="19.5" customHeight="1">
      <x:c r="A94" s="11"/>
      <x:c r="B94" s="6" t="str">
        <x:v>SZELLŐZŐVENTILÁTOROK</x:v>
      </x:c>
      <x:c r="C94" s="6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</x:row>
    <x:row r="95">
      <x:c r="A95" s="12" t="s">
        <x:v>87</x:v>
      </x:c>
      <x:c r="B95" s="13"/>
      <x:c r="C95" s="14" t="str">
        <x:v>befúvás / elszívó ventilátor - inline</x:v>
      </x:c>
      <x:c r="D95" s="12" t="str">
        <x:v>db</x:v>
      </x:c>
      <x:c r="E95" s="15"/>
      <x:c r="F95" s="15"/>
      <x:c r="G95" s="15"/>
      <x:c r="H95" s="15"/>
      <x:c r="I95" s="15"/>
      <x:c r="J95" s="15"/>
      <x:c r="K95" s="15"/>
      <x:c r="L95" s="15"/>
      <x:c r="M95" s="16" t="n">
        <x:f t="shared" ref="M95:M100" si="6">SUM(E95:L95)</x:f>
        <x:v>0</x:v>
      </x:c>
      <x:c r="N95" s="13"/>
    </x:row>
    <x:row r="96">
      <x:c r="A96" s="12" t="s">
        <x:v>88</x:v>
      </x:c>
      <x:c r="B96" s="13"/>
      <x:c r="C96" s="14" t="str">
        <x:v>tető / wall elszívó ventilátor</x:v>
      </x:c>
      <x:c r="D96" s="12" t="str">
        <x:v>db</x:v>
      </x:c>
      <x:c r="E96" s="15"/>
      <x:c r="F96" s="15"/>
      <x:c r="G96" s="15"/>
      <x:c r="H96" s="15"/>
      <x:c r="I96" s="15"/>
      <x:c r="J96" s="15"/>
      <x:c r="K96" s="15"/>
      <x:c r="L96" s="15"/>
      <x:c r="M96" s="16">
        <x:f t="shared" si="6"/>
        <x:v>0</x:v>
      </x:c>
      <x:c r="N96" s="13"/>
    </x:row>
    <x:row r="97">
      <x:c r="A97" s="12" t="s">
        <x:v>89</x:v>
      </x:c>
      <x:c r="B97" s="13"/>
      <x:c r="C97" s="14" t="str">
        <x:v>Toilet / kitchen elszívó ventilátor</x:v>
      </x:c>
      <x:c r="D97" s="12" t="str">
        <x:v>db</x:v>
      </x:c>
      <x:c r="E97" s="15"/>
      <x:c r="F97" s="15"/>
      <x:c r="G97" s="15"/>
      <x:c r="H97" s="15"/>
      <x:c r="I97" s="15"/>
      <x:c r="J97" s="15"/>
      <x:c r="K97" s="15"/>
      <x:c r="L97" s="15"/>
      <x:c r="M97" s="16">
        <x:f t="shared" si="6"/>
        <x:v>0</x:v>
      </x:c>
      <x:c r="N97" s="13"/>
    </x:row>
    <x:row r="98">
      <x:c r="A98" s="12" t="s">
        <x:v>90</x:v>
      </x:c>
      <x:c r="B98" s="13"/>
      <x:c r="C98" s="14" t="str">
        <x:v>Smoke / lépcsőházi túlnyomásos szellőzés fan</x:v>
      </x:c>
      <x:c r="D98" s="12" t="str">
        <x:v>db</x:v>
      </x:c>
      <x:c r="E98" s="15"/>
      <x:c r="F98" s="15"/>
      <x:c r="G98" s="15"/>
      <x:c r="H98" s="15"/>
      <x:c r="I98" s="15"/>
      <x:c r="J98" s="15"/>
      <x:c r="K98" s="15"/>
      <x:c r="L98" s="15"/>
      <x:c r="M98" s="16">
        <x:f t="shared" si="6"/>
        <x:v>0</x:v>
      </x:c>
      <x:c r="N98" s="13"/>
    </x:row>
    <x:row r="99">
      <x:c r="A99" s="12" t="s">
        <x:v>91</x:v>
      </x:c>
      <x:c r="B99" s="13"/>
      <x:c r="C99" s="14" t="str">
        <x:v>parkoló jet fan</x:v>
      </x:c>
      <x:c r="D99" s="12" t="str">
        <x:v>db</x:v>
      </x:c>
      <x:c r="E99" s="15"/>
      <x:c r="F99" s="15"/>
      <x:c r="G99" s="15"/>
      <x:c r="H99" s="15"/>
      <x:c r="I99" s="15"/>
      <x:c r="J99" s="15"/>
      <x:c r="K99" s="15"/>
      <x:c r="L99" s="15"/>
      <x:c r="M99" s="16">
        <x:f t="shared" si="6"/>
        <x:v>0</x:v>
      </x:c>
      <x:c r="N99" s="13"/>
    </x:row>
    <x:row r="100">
      <x:c r="A100" s="12" t="s">
        <x:v>92</x:v>
      </x:c>
      <x:c r="B100" s="13"/>
      <x:c r="C100" s="14" t="str">
        <x:v>parkoló CO érzékelő</x:v>
      </x:c>
      <x:c r="D100" s="12" t="str">
        <x:v>db</x:v>
      </x:c>
      <x:c r="E100" s="15"/>
      <x:c r="F100" s="15"/>
      <x:c r="G100" s="15"/>
      <x:c r="H100" s="15"/>
      <x:c r="I100" s="15"/>
      <x:c r="J100" s="15"/>
      <x:c r="K100" s="15"/>
      <x:c r="L100" s="15"/>
      <x:c r="M100" s="16">
        <x:f t="shared" si="6"/>
        <x:v>0</x:v>
      </x:c>
      <x:c r="N100" s="13"/>
    </x:row>
    <x:row r="101" ht="19.5" customHeight="1">
      <x:c r="A101" s="11"/>
      <x:c r="B101" s="6" t="str">
        <x:v>SZABÁLYOZÁS / BMS</x:v>
      </x:c>
      <x:c r="C101" s="6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</x:row>
    <x:row r="102">
      <x:c r="A102" s="12" t="s">
        <x:v>93</x:v>
      </x:c>
      <x:c r="B102" s="13"/>
      <x:c r="C102" s="14" t="str">
        <x:v>BMS szabályozó / DDC vezérlőpanel</x:v>
      </x:c>
      <x:c r="D102" s="12" t="str">
        <x:v>db</x:v>
      </x:c>
      <x:c r="E102" s="15"/>
      <x:c r="F102" s="15"/>
      <x:c r="G102" s="15"/>
      <x:c r="H102" s="15"/>
      <x:c r="I102" s="15"/>
      <x:c r="J102" s="15"/>
      <x:c r="K102" s="15"/>
      <x:c r="L102" s="15"/>
      <x:c r="M102" s="16" t="n">
        <x:f t="shared" ref="M102:M113" si="7">SUM(E102:L102)</x:f>
        <x:v>0</x:v>
      </x:c>
      <x:c r="N102" s="13"/>
    </x:row>
    <x:row r="103">
      <x:c r="A103" s="12" t="s">
        <x:v>94</x:v>
      </x:c>
      <x:c r="B103" s="13"/>
      <x:c r="C103" s="14" t="str">
        <x:v>BMS érzékelő - hőmérséklet</x:v>
      </x:c>
      <x:c r="D103" s="12" t="str">
        <x:v>db</x:v>
      </x:c>
      <x:c r="E103" s="15"/>
      <x:c r="F103" s="15"/>
      <x:c r="G103" s="15"/>
      <x:c r="H103" s="15"/>
      <x:c r="I103" s="15"/>
      <x:c r="J103" s="15"/>
      <x:c r="K103" s="15"/>
      <x:c r="L103" s="15"/>
      <x:c r="M103" s="16">
        <x:f t="shared" si="7"/>
        <x:v>0</x:v>
      </x:c>
      <x:c r="N103" s="13"/>
    </x:row>
    <x:row r="104">
      <x:c r="A104" s="12" t="s">
        <x:v>95</x:v>
      </x:c>
      <x:c r="B104" s="13"/>
      <x:c r="C104" s="14" t="str">
        <x:v>BMS érzékelő - humidity</x:v>
      </x:c>
      <x:c r="D104" s="12" t="str">
        <x:v>db</x:v>
      </x:c>
      <x:c r="E104" s="15"/>
      <x:c r="F104" s="15"/>
      <x:c r="G104" s="15"/>
      <x:c r="H104" s="15"/>
      <x:c r="I104" s="15"/>
      <x:c r="J104" s="15"/>
      <x:c r="K104" s="15"/>
      <x:c r="L104" s="15"/>
      <x:c r="M104" s="16">
        <x:f t="shared" si="7"/>
        <x:v>0</x:v>
      </x:c>
      <x:c r="N104" s="13"/>
    </x:row>
    <x:row r="105">
      <x:c r="A105" s="12" t="s">
        <x:v>96</x:v>
      </x:c>
      <x:c r="B105" s="13"/>
      <x:c r="C105" s="14" t="str">
        <x:v>BMS érzékelő - CO2</x:v>
      </x:c>
      <x:c r="D105" s="12" t="str">
        <x:v>db</x:v>
      </x:c>
      <x:c r="E105" s="15"/>
      <x:c r="F105" s="15"/>
      <x:c r="G105" s="15"/>
      <x:c r="H105" s="15"/>
      <x:c r="I105" s="15"/>
      <x:c r="J105" s="15"/>
      <x:c r="K105" s="15"/>
      <x:c r="L105" s="15"/>
      <x:c r="M105" s="16">
        <x:f t="shared" si="7"/>
        <x:v>0</x:v>
      </x:c>
      <x:c r="N105" s="13"/>
    </x:row>
    <x:row r="106">
      <x:c r="A106" s="12" t="s">
        <x:v>97</x:v>
      </x:c>
      <x:c r="B106" s="13"/>
      <x:c r="C106" s="14" t="str">
        <x:v>BMS érzékelő - légcsatorna pressure</x:v>
      </x:c>
      <x:c r="D106" s="12" t="str">
        <x:v>db</x:v>
      </x:c>
      <x:c r="E106" s="15"/>
      <x:c r="F106" s="15"/>
      <x:c r="G106" s="15"/>
      <x:c r="H106" s="15"/>
      <x:c r="I106" s="15"/>
      <x:c r="J106" s="15"/>
      <x:c r="K106" s="15"/>
      <x:c r="L106" s="15"/>
      <x:c r="M106" s="16">
        <x:f t="shared" si="7"/>
        <x:v>0</x:v>
      </x:c>
      <x:c r="N106" s="13"/>
    </x:row>
    <x:row r="107">
      <x:c r="A107" s="12" t="s">
        <x:v>98</x:v>
      </x:c>
      <x:c r="B107" s="13"/>
      <x:c r="C107" s="14" t="str">
        <x:v>BMS érzékelő - víz flow</x:v>
      </x:c>
      <x:c r="D107" s="12" t="str">
        <x:v>db</x:v>
      </x:c>
      <x:c r="E107" s="15"/>
      <x:c r="F107" s="15"/>
      <x:c r="G107" s="15"/>
      <x:c r="H107" s="15"/>
      <x:c r="I107" s="15"/>
      <x:c r="J107" s="15"/>
      <x:c r="K107" s="15"/>
      <x:c r="L107" s="15"/>
      <x:c r="M107" s="16">
        <x:f t="shared" si="7"/>
        <x:v>0</x:v>
      </x:c>
      <x:c r="N107" s="13"/>
    </x:row>
    <x:row r="108">
      <x:c r="A108" s="12" t="s">
        <x:v>99</x:v>
      </x:c>
      <x:c r="B108" s="13"/>
      <x:c r="C108" s="14" t="str">
        <x:v>csappantyú actuator</x:v>
      </x:c>
      <x:c r="D108" s="12" t="str">
        <x:v>db</x:v>
      </x:c>
      <x:c r="E108" s="15"/>
      <x:c r="F108" s="15"/>
      <x:c r="G108" s="15"/>
      <x:c r="H108" s="15"/>
      <x:c r="I108" s="15"/>
      <x:c r="J108" s="15"/>
      <x:c r="K108" s="15"/>
      <x:c r="L108" s="15"/>
      <x:c r="M108" s="16">
        <x:f t="shared" si="7"/>
        <x:v>0</x:v>
      </x:c>
      <x:c r="N108" s="13"/>
    </x:row>
    <x:row r="109">
      <x:c r="A109" s="12" t="s">
        <x:v>100</x:v>
      </x:c>
      <x:c r="B109" s="13"/>
      <x:c r="C109" s="14" t="str">
        <x:v>szelep actuator</x:v>
      </x:c>
      <x:c r="D109" s="12" t="str">
        <x:v>db</x:v>
      </x:c>
      <x:c r="E109" s="15"/>
      <x:c r="F109" s="15"/>
      <x:c r="G109" s="15"/>
      <x:c r="H109" s="15"/>
      <x:c r="I109" s="15"/>
      <x:c r="J109" s="15"/>
      <x:c r="K109" s="15"/>
      <x:c r="L109" s="15"/>
      <x:c r="M109" s="16">
        <x:f t="shared" si="7"/>
        <x:v>0</x:v>
      </x:c>
      <x:c r="N109" s="13"/>
    </x:row>
    <x:row r="110">
      <x:c r="A110" s="12" t="s">
        <x:v>101</x:v>
      </x:c>
      <x:c r="B110" s="13"/>
      <x:c r="C110" s="14" t="str">
        <x:v>helyiségtermosztát / wall szabályozó</x:v>
      </x:c>
      <x:c r="D110" s="12" t="str">
        <x:v>db</x:v>
      </x:c>
      <x:c r="E110" s="15"/>
      <x:c r="F110" s="15"/>
      <x:c r="G110" s="15"/>
      <x:c r="H110" s="15"/>
      <x:c r="I110" s="15"/>
      <x:c r="J110" s="15"/>
      <x:c r="K110" s="15"/>
      <x:c r="L110" s="15"/>
      <x:c r="M110" s="16">
        <x:f t="shared" si="7"/>
        <x:v>0</x:v>
      </x:c>
      <x:c r="N110" s="13"/>
    </x:row>
    <x:row r="111">
      <x:c r="A111" s="12" t="s">
        <x:v>102</x:v>
      </x:c>
      <x:c r="B111" s="13"/>
      <x:c r="C111" s="14" t="str">
        <x:v>BMS network kábel</x:v>
      </x:c>
      <x:c r="D111" s="12" t="str">
        <x:v>fm</x:v>
      </x:c>
      <x:c r="E111" s="15"/>
      <x:c r="F111" s="15"/>
      <x:c r="G111" s="15"/>
      <x:c r="H111" s="15"/>
      <x:c r="I111" s="15"/>
      <x:c r="J111" s="15"/>
      <x:c r="K111" s="15"/>
      <x:c r="L111" s="15"/>
      <x:c r="M111" s="16">
        <x:f t="shared" si="7"/>
        <x:v>0</x:v>
      </x:c>
      <x:c r="N111" s="13"/>
    </x:row>
    <x:row r="112">
      <x:c r="A112" s="12" t="s">
        <x:v>103</x:v>
      </x:c>
      <x:c r="B112" s="13"/>
      <x:c r="C112" s="14" t="str">
        <x:v>BMS power kábel</x:v>
      </x:c>
      <x:c r="D112" s="12" t="str">
        <x:v>fm</x:v>
      </x:c>
      <x:c r="E112" s="15"/>
      <x:c r="F112" s="15"/>
      <x:c r="G112" s="15"/>
      <x:c r="H112" s="15"/>
      <x:c r="I112" s="15"/>
      <x:c r="J112" s="15"/>
      <x:c r="K112" s="15"/>
      <x:c r="L112" s="15"/>
      <x:c r="M112" s="16">
        <x:f t="shared" si="7"/>
        <x:v>0</x:v>
      </x:c>
      <x:c r="N112" s="13"/>
    </x:row>
    <x:row r="113">
      <x:c r="A113" s="12" t="s">
        <x:v>104</x:v>
      </x:c>
      <x:c r="B113" s="13"/>
      <x:c r="C113" s="14" t="str">
        <x:v>BMS terepi szekrény / alpanel</x:v>
      </x:c>
      <x:c r="D113" s="12" t="str">
        <x:v>db</x:v>
      </x:c>
      <x:c r="E113" s="15"/>
      <x:c r="F113" s="15"/>
      <x:c r="G113" s="15"/>
      <x:c r="H113" s="15"/>
      <x:c r="I113" s="15"/>
      <x:c r="J113" s="15"/>
      <x:c r="K113" s="15"/>
      <x:c r="L113" s="15"/>
      <x:c r="M113" s="16">
        <x:f t="shared" si="7"/>
        <x:v>0</x:v>
      </x:c>
      <x:c r="N113" s="13"/>
    </x:row>
    <x:row r="114" ht="19.5" customHeight="1">
      <x:c r="A114" s="11"/>
      <x:c r="B114" s="6" t="str">
        <x:v>TESZTELÉS ÉS ÜZEMBE HELYEZÉS</x:v>
      </x:c>
      <x:c r="C114" s="6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</x:row>
    <x:row r="115">
      <x:c r="A115" s="12" t="s">
        <x:v>105</x:v>
      </x:c>
      <x:c r="B115" s="13"/>
      <x:c r="C115" s="14" t="str">
        <x:v>légzárási vizsgálat - légcsatorna-hálózat section</x:v>
      </x:c>
      <x:c r="D115" s="12" t="str">
        <x:v>db</x:v>
      </x:c>
      <x:c r="E115" s="15"/>
      <x:c r="F115" s="15"/>
      <x:c r="G115" s="15"/>
      <x:c r="H115" s="15"/>
      <x:c r="I115" s="15"/>
      <x:c r="J115" s="15"/>
      <x:c r="K115" s="15"/>
      <x:c r="L115" s="15"/>
      <x:c r="M115" s="16" t="n">
        <x:f>SUM(E115:L115)</x:f>
        <x:v>0</x:v>
      </x:c>
      <x:c r="N115" s="13"/>
    </x:row>
    <x:row r="116">
      <x:c r="A116" s="12" t="s">
        <x:v>106</x:v>
      </x:c>
      <x:c r="B116" s="13"/>
      <x:c r="C116" s="14" t="s">
        <x:v>107</x:v>
      </x:c>
      <x:c r="D116" s="12" t="str">
        <x:v>db</x:v>
      </x:c>
      <x:c r="E116" s="15"/>
      <x:c r="F116" s="15"/>
      <x:c r="G116" s="15"/>
      <x:c r="H116" s="15"/>
      <x:c r="I116" s="15"/>
      <x:c r="J116" s="15"/>
      <x:c r="K116" s="15"/>
      <x:c r="L116" s="15"/>
      <x:c r="M116" s="16" t="n">
        <x:f>SUM(E116:L116)</x:f>
        <x:v>0</x:v>
      </x:c>
      <x:c r="N116" s="13"/>
    </x:row>
    <x:row r="117">
      <x:c r="A117" s="12" t="s">
        <x:v>108</x:v>
      </x:c>
      <x:c r="B117" s="13"/>
      <x:c r="C117" s="14" t="str">
        <x:v>légmennyiség-beszabályozás point</x:v>
      </x:c>
      <x:c r="D117" s="12" t="str">
        <x:v>db</x:v>
      </x:c>
      <x:c r="E117" s="15"/>
      <x:c r="F117" s="15"/>
      <x:c r="G117" s="15"/>
      <x:c r="H117" s="15"/>
      <x:c r="I117" s="15"/>
      <x:c r="J117" s="15"/>
      <x:c r="K117" s="15"/>
      <x:c r="L117" s="15"/>
      <x:c r="M117" s="16" t="n">
        <x:f>SUM(E117:L117)</x:f>
        <x:v>0</x:v>
      </x:c>
      <x:c r="N117" s="13"/>
    </x:row>
    <x:row r="118">
      <x:c r="A118" s="12" t="s">
        <x:v>109</x:v>
      </x:c>
      <x:c r="B118" s="13"/>
      <x:c r="C118" s="14" t="str">
        <x:v>víz balancing point</x:v>
      </x:c>
      <x:c r="D118" s="12" t="str">
        <x:v>db</x:v>
      </x:c>
      <x:c r="E118" s="15"/>
      <x:c r="F118" s="15"/>
      <x:c r="G118" s="15"/>
      <x:c r="H118" s="15"/>
      <x:c r="I118" s="15"/>
      <x:c r="J118" s="15"/>
      <x:c r="K118" s="15"/>
      <x:c r="L118" s="15"/>
      <x:c r="M118" s="16" t="n">
        <x:f>SUM(E118:L118)</x:f>
        <x:v>0</x:v>
      </x:c>
      <x:c r="N118" s="13"/>
    </x:row>
    <x:row r="119">
      <x:c r="A119" s="12" t="s">
        <x:v>110</x:v>
      </x:c>
      <x:c r="B119" s="13"/>
      <x:c r="C119" s="14" t="str">
        <x:v>BMS point - point---point test</x:v>
      </x:c>
      <x:c r="D119" s="12" t="str">
        <x:v>db</x:v>
      </x:c>
      <x:c r="E119" s="15"/>
      <x:c r="F119" s="15"/>
      <x:c r="G119" s="15"/>
      <x:c r="H119" s="15"/>
      <x:c r="I119" s="15"/>
      <x:c r="J119" s="15"/>
      <x:c r="K119" s="15"/>
      <x:c r="L119" s="15"/>
      <x:c r="M119" s="16" t="n">
        <x:f>SUM(E119:L119)</x:f>
        <x:v>0</x:v>
      </x:c>
      <x:c r="N119" s="13"/>
    </x:row>
  </x:sheetData>
  <x:mergeCells>
    <x:mergeCell ref="B62:C62"/>
    <x:mergeCell ref="B74:C74"/>
    <x:mergeCell ref="B94:C94"/>
    <x:mergeCell ref="B101:C101"/>
    <x:mergeCell ref="B114:C114"/>
    <x:mergeCell ref="A1:N1"/>
    <x:mergeCell ref="B10:C10"/>
    <x:mergeCell ref="B23:C23"/>
    <x:mergeCell ref="B31:C31"/>
    <x:mergeCell ref="B44:C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8.6640625" defaultRowHeight="14.25"/>
  <x:cols>
    <x:col min="1" max="1" width="9" customWidth="1"/>
    <x:col min="2" max="2" width="42" customWidth="1"/>
    <x:col min="3" max="3" width="8" customWidth="1"/>
    <x:col min="4" max="4" width="10" customWidth="1"/>
    <x:col min="5" max="7" width="11" customWidth="1"/>
    <x:col min="8" max="8" width="12" customWidth="1"/>
    <x:col min="9" max="9" width="13" customWidth="1"/>
    <x:col min="10" max="10" width="28" customWidth="1"/>
  </x:cols>
  <x:sheetData>
    <x:row r="1" ht="24" customHeight="1">
      <x:c r="A1" s="7" t="str">
        <x:v>ÉPÜLETGÉPÉSZETI ASSEMBLY-K - MENNYISÉGI KIMUTATÁS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15" customHeight="1">
      <x:c r="A2" s="5" t="str">
        <x:v>primer quantities link - the HVAC QTO sheet. Adjust egységárak és component fajlagosok - suit your project.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0" customHeight="1">
      <x:c r="A4" s="9" t="s">
        <x:v>111</x:v>
      </x:c>
      <x:c r="B4" s="9" t="str">
        <x:v>Komponens megnevezése</x:v>
      </x:c>
      <x:c r="C4" s="9" t="str">
        <x:v>Mértékegység</x:v>
      </x:c>
      <x:c r="D4" s="9" t="str">
        <x:v>Fajlagos /
primer mennyiség</x:v>
      </x:c>
      <x:c r="E4" s="9" t="str">
        <x:v>Primer
mennyiség</x:v>
      </x:c>
      <x:c r="F4" s="9" t="s">
        <x:v>112</x:v>
      </x:c>
      <x:c r="G4" s="9" t="str">
        <x:v>Egységár</x:v>
      </x:c>
      <x:c r="H4" s="9" t="str">
        <x:v>Összes költség</x:v>
      </x:c>
      <x:c r="I4" s="9" t="str">
        <x:v>Szakág / munkanem</x:v>
      </x:c>
      <x:c r="J4" s="9" t="str">
        <x:v>Megjegyzés</x:v>
      </x:c>
    </x:row>
    <x:row r="6">
      <x:c r="J6" s="17" t="str">
        <x:v>Mennyiségfelvétel hivatkozás 3.1</x:v>
      </x:c>
    </x:row>
    <x:row r="7">
      <x:c r="A7" s="18" t="s">
        <x:v>113</x:v>
      </x:c>
      <x:c r="B7" s="19" t="str">
        <x:v>fan-coil - álmennyezetbe süllyesztett</x:v>
      </x:c>
      <x:c r="C7" s="12" t="str">
        <x:v>db</x:v>
      </x:c>
      <x:c r="D7" s="20">
        <x:v>1</x:v>
      </x:c>
      <x:c r="E7" s="16" t="n">
        <x:f>'HVAC QTO'!M32</x:f>
        <x:v>0</x:v>
      </x:c>
      <x:c r="F7" s="21" t="n">
        <x:f t="shared" ref="F7:F26" si="0">D7*E7</x:f>
        <x:v>0</x:v>
      </x:c>
      <x:c r="G7" s="15"/>
      <x:c r="H7" s="21" t="n">
        <x:f t="shared" ref="H7:H26" si="1">F7*G7</x:f>
        <x:v>0</x:v>
      </x:c>
      <x:c r="I7" s="14" t="str">
        <x:v>Gépészet</x:v>
      </x:c>
      <x:c r="J7" s="14" t="str">
        <x:v>csak anyagellátás</x:v>
      </x:c>
    </x:row>
    <x:row r="8">
      <x:c r="A8" s="13"/>
      <x:c r="B8" s="14" t="str">
        <x:v>rögzítő konzol / függesztőkészlet</x:v>
      </x:c>
      <x:c r="C8" s="12" t="str">
        <x:v>klt.</x:v>
      </x:c>
      <x:c r="D8" s="20">
        <x:v>1</x:v>
      </x:c>
      <x:c r="E8" s="21" t="n">
        <x:f t="shared" ref="E8:E26" si="2">E$7</x:f>
        <x:v>0</x:v>
      </x:c>
      <x:c r="F8" s="21">
        <x:f t="shared" si="0"/>
        <x:v>0</x:v>
      </x:c>
      <x:c r="G8" s="15"/>
      <x:c r="H8" s="21">
        <x:f t="shared" si="1"/>
        <x:v>0</x:v>
      </x:c>
      <x:c r="I8" s="14" t="str">
        <x:v>Gépészet</x:v>
      </x:c>
      <x:c r="J8" s="14" t="str">
        <x:v>4x menetes szár anchors</x:v>
      </x:c>
    </x:row>
    <x:row r="9">
      <x:c r="A9" s="13"/>
      <x:c r="B9" s="14" t="str">
        <x:v>mennyezet szerelőnyílás (hinged 600x600)</x:v>
      </x:c>
      <x:c r="C9" s="12" t="str">
        <x:v>db</x:v>
      </x:c>
      <x:c r="D9" s="20">
        <x:v>1</x:v>
      </x:c>
      <x:c r="E9" s="21">
        <x:f t="shared" si="2"/>
        <x:v>0</x:v>
      </x:c>
      <x:c r="F9" s="21">
        <x:f t="shared" si="0"/>
        <x:v>0</x:v>
      </x:c>
      <x:c r="G9" s="15"/>
      <x:c r="H9" s="21">
        <x:f t="shared" si="1"/>
        <x:v>0</x:v>
      </x:c>
      <x:c r="I9" s="14" t="str">
        <x:v>Gépészet</x:v>
      </x:c>
      <x:c r="J9" s="14" t="str">
        <x:v>For karbantartási hozzáférés</x:v>
      </x:c>
    </x:row>
    <x:row r="10">
      <x:c r="A10" s="13"/>
      <x:c r="B10" s="14" t="str">
        <x:v>flexibilis légcsatorna csatlakozás - befúvás (1.5m)</x:v>
      </x:c>
      <x:c r="C10" s="12" t="str">
        <x:v>fm</x:v>
      </x:c>
      <x:c r="D10" s="20">
        <x:v>1.5</x:v>
      </x:c>
      <x:c r="E10" s="21">
        <x:f t="shared" si="2"/>
        <x:v>0</x:v>
      </x:c>
      <x:c r="F10" s="21">
        <x:f t="shared" si="0"/>
        <x:v>0</x:v>
      </x:c>
      <x:c r="G10" s="15"/>
      <x:c r="H10" s="21">
        <x:f t="shared" si="1"/>
        <x:v>0</x:v>
      </x:c>
      <x:c r="I10" s="14" t="str">
        <x:v>Gépészet</x:v>
      </x:c>
      <x:c r="J10" s="14" t="str">
        <x:v>fan-coil - plenum / branch</x:v>
      </x:c>
    </x:row>
    <x:row r="11">
      <x:c r="A11" s="13"/>
      <x:c r="B11" s="14" t="str">
        <x:v>flexibilis légcsatorna csatlakozás - elszívás / visszatérő</x:v>
      </x:c>
      <x:c r="C11" s="12" t="str">
        <x:v>fm</x:v>
      </x:c>
      <x:c r="D11" s="20">
        <x:v>1</x:v>
      </x:c>
      <x:c r="E11" s="21">
        <x:f t="shared" si="2"/>
        <x:v>0</x:v>
      </x:c>
      <x:c r="F11" s="21">
        <x:f t="shared" si="0"/>
        <x:v>0</x:v>
      </x:c>
      <x:c r="G11" s="15"/>
      <x:c r="H11" s="21">
        <x:f t="shared" si="1"/>
        <x:v>0</x:v>
      </x:c>
      <x:c r="I11" s="14" t="str">
        <x:v>Gépészet</x:v>
      </x:c>
      <x:c r="J11" s="14" t="str">
        <x:v>If légcsatornás elszívás / visszatérő</x:v>
      </x:c>
    </x:row>
    <x:row r="12">
      <x:c r="A12" s="13"/>
      <x:c r="B12" s="14" t="str">
        <x:v>hűtött víz flexibilis csatlakozás (pair)</x:v>
      </x:c>
      <x:c r="C12" s="12" t="str">
        <x:v>db</x:v>
      </x:c>
      <x:c r="D12" s="20">
        <x:v>2</x:v>
      </x:c>
      <x:c r="E12" s="21">
        <x:f t="shared" si="2"/>
        <x:v>0</x:v>
      </x:c>
      <x:c r="F12" s="21">
        <x:f t="shared" si="0"/>
        <x:v>0</x:v>
      </x:c>
      <x:c r="G12" s="15"/>
      <x:c r="H12" s="21">
        <x:f t="shared" si="1"/>
        <x:v>0</x:v>
      </x:c>
      <x:c r="I12" s="14" t="str">
        <x:v>Gépészet</x:v>
      </x:c>
      <x:c r="J12" s="14" t="str">
        <x:v>előremenő és visszatérő braided hoses</x:v>
      </x:c>
    </x:row>
    <x:row r="13">
      <x:c r="A13" s="13"/>
      <x:c r="B13" s="14" t="str">
        <x:v>szabályozószelep - kétjáratú moduláló</x:v>
      </x:c>
      <x:c r="C13" s="12" t="str">
        <x:v>db</x:v>
      </x:c>
      <x:c r="D13" s="20">
        <x:v>1</x:v>
      </x:c>
      <x:c r="E13" s="21">
        <x:f t="shared" si="2"/>
        <x:v>0</x:v>
      </x:c>
      <x:c r="F13" s="21">
        <x:f t="shared" si="0"/>
        <x:v>0</x:v>
      </x:c>
      <x:c r="G13" s="15"/>
      <x:c r="H13" s="21">
        <x:f t="shared" si="1"/>
        <x:v>0</x:v>
      </x:c>
      <x:c r="I13" s="14" t="str">
        <x:v>Gépészet</x:v>
      </x:c>
      <x:c r="J13" s="14" t="str">
        <x:v>On hűtött víz flow</x:v>
      </x:c>
    </x:row>
    <x:row r="14">
      <x:c r="A14" s="13"/>
      <x:c r="B14" s="14" t="str">
        <x:v>szűrő - Y-kivitel (25mm)</x:v>
      </x:c>
      <x:c r="C14" s="12" t="str">
        <x:v>db</x:v>
      </x:c>
      <x:c r="D14" s="20">
        <x:v>1</x:v>
      </x:c>
      <x:c r="E14" s="21">
        <x:f t="shared" si="2"/>
        <x:v>0</x:v>
      </x:c>
      <x:c r="F14" s="21">
        <x:f t="shared" si="0"/>
        <x:v>0</x:v>
      </x:c>
      <x:c r="G14" s="15"/>
      <x:c r="H14" s="21">
        <x:f t="shared" si="1"/>
        <x:v>0</x:v>
      </x:c>
      <x:c r="I14" s="14" t="str">
        <x:v>Gépészet</x:v>
      </x:c>
      <x:c r="J14" s="14" t="str">
        <x:v>Upstream of szelep</x:v>
      </x:c>
    </x:row>
    <x:row r="15">
      <x:c r="A15" s="13"/>
      <x:c r="B15" s="14" t="str">
        <x:v>elzáró szelep - ball (25mm)</x:v>
      </x:c>
      <x:c r="C15" s="12" t="str">
        <x:v>db</x:v>
      </x:c>
      <x:c r="D15" s="20">
        <x:v>2</x:v>
      </x:c>
      <x:c r="E15" s="21">
        <x:f t="shared" si="2"/>
        <x:v>0</x:v>
      </x:c>
      <x:c r="F15" s="21">
        <x:f t="shared" si="0"/>
        <x:v>0</x:v>
      </x:c>
      <x:c r="G15" s="15"/>
      <x:c r="H15" s="21">
        <x:f t="shared" si="1"/>
        <x:v>0</x:v>
      </x:c>
      <x:c r="I15" s="14" t="str">
        <x:v>Gépészet</x:v>
      </x:c>
      <x:c r="J15" s="14" t="str">
        <x:v>előremenő és visszatérő</x:v>
      </x:c>
    </x:row>
    <x:row r="16">
      <x:c r="A16" s="13"/>
      <x:c r="B16" s="14" t="str">
        <x:v>légtelenítő - automatikus</x:v>
      </x:c>
      <x:c r="C16" s="12" t="str">
        <x:v>db</x:v>
      </x:c>
      <x:c r="D16" s="20">
        <x:v>1</x:v>
      </x:c>
      <x:c r="E16" s="21">
        <x:f t="shared" si="2"/>
        <x:v>0</x:v>
      </x:c>
      <x:c r="F16" s="21">
        <x:f t="shared" si="0"/>
        <x:v>0</x:v>
      </x:c>
      <x:c r="G16" s="15"/>
      <x:c r="H16" s="21">
        <x:f t="shared" si="1"/>
        <x:v>0</x:v>
      </x:c>
      <x:c r="I16" s="14" t="str">
        <x:v>Gépészet</x:v>
      </x:c>
      <x:c r="J16" s="14" t="str">
        <x:v>magas point of coil</x:v>
      </x:c>
    </x:row>
    <x:row r="17">
      <x:c r="A17" s="13"/>
      <x:c r="B17" s="14" t="str">
        <x:v>kondenzvíz-elvezetés cső (uPVC 32mm)</x:v>
      </x:c>
      <x:c r="C17" s="12" t="str">
        <x:v>fm</x:v>
      </x:c>
      <x:c r="D17" s="20">
        <x:v>3</x:v>
      </x:c>
      <x:c r="E17" s="21">
        <x:f t="shared" si="2"/>
        <x:v>0</x:v>
      </x:c>
      <x:c r="F17" s="21">
        <x:f t="shared" si="0"/>
        <x:v>0</x:v>
      </x:c>
      <x:c r="G17" s="15"/>
      <x:c r="H17" s="21">
        <x:f t="shared" si="1"/>
        <x:v>0</x:v>
      </x:c>
      <x:c r="I17" s="14" t="str">
        <x:v>Gépészet</x:v>
      </x:c>
      <x:c r="J17" s="14" t="str">
        <x:v>3m ráhagyás per fan-coil</x:v>
      </x:c>
    </x:row>
    <x:row r="18">
      <x:c r="A18" s="13"/>
      <x:c r="B18" s="14" t="str">
        <x:v>kondenzvíz-elvezetés trap</x:v>
      </x:c>
      <x:c r="C18" s="12" t="str">
        <x:v>db</x:v>
      </x:c>
      <x:c r="D18" s="20">
        <x:v>1</x:v>
      </x:c>
      <x:c r="E18" s="21">
        <x:f t="shared" si="2"/>
        <x:v>0</x:v>
      </x:c>
      <x:c r="F18" s="21">
        <x:f t="shared" si="0"/>
        <x:v>0</x:v>
      </x:c>
      <x:c r="G18" s="15"/>
      <x:c r="H18" s="21">
        <x:f t="shared" si="1"/>
        <x:v>0</x:v>
      </x:c>
      <x:c r="I18" s="14" t="str">
        <x:v>Gépészet</x:v>
      </x:c>
      <x:c r="J18" s="14"/>
    </x:row>
    <x:row r="19">
      <x:c r="A19" s="13"/>
      <x:c r="B19" s="14" t="str">
        <x:v>cső szigetelés - hűtött víz (25mm)</x:v>
      </x:c>
      <x:c r="C19" s="12" t="str">
        <x:v>fm</x:v>
      </x:c>
      <x:c r="D19" s="20">
        <x:v>4</x:v>
      </x:c>
      <x:c r="E19" s="21">
        <x:f t="shared" si="2"/>
        <x:v>0</x:v>
      </x:c>
      <x:c r="F19" s="21">
        <x:f t="shared" si="0"/>
        <x:v>0</x:v>
      </x:c>
      <x:c r="G19" s="15"/>
      <x:c r="H19" s="21">
        <x:f t="shared" si="1"/>
        <x:v>0</x:v>
      </x:c>
      <x:c r="I19" s="14" t="str">
        <x:v>Gépészet</x:v>
      </x:c>
      <x:c r="J19" s="14" t="str">
        <x:v>2m flow + 2m elszívás / visszatérő</x:v>
      </x:c>
    </x:row>
    <x:row r="20">
      <x:c r="A20" s="13"/>
      <x:c r="B20" s="14" t="str">
        <x:v>BMS érzékelő - elszívott / visszatérő levegő hőmérséklet</x:v>
      </x:c>
      <x:c r="C20" s="12" t="str">
        <x:v>db</x:v>
      </x:c>
      <x:c r="D20" s="20">
        <x:v>1</x:v>
      </x:c>
      <x:c r="E20" s="21">
        <x:f t="shared" si="2"/>
        <x:v>0</x:v>
      </x:c>
      <x:c r="F20" s="21">
        <x:f t="shared" si="0"/>
        <x:v>0</x:v>
      </x:c>
      <x:c r="G20" s="15"/>
      <x:c r="H20" s="21">
        <x:f t="shared" si="1"/>
        <x:v>0</x:v>
      </x:c>
      <x:c r="I20" s="14" t="str">
        <x:v>BMS épületfelügyelet</x:v>
      </x:c>
      <x:c r="J20" s="14"/>
    </x:row>
    <x:row r="21">
      <x:c r="A21" s="13"/>
      <x:c r="B21" s="14" t="str">
        <x:v>Power kábel - fan-coil (1.5mm² 3C)</x:v>
      </x:c>
      <x:c r="C21" s="12" t="str">
        <x:v>fm</x:v>
      </x:c>
      <x:c r="D21" s="20">
        <x:v>8</x:v>
      </x:c>
      <x:c r="E21" s="21">
        <x:f t="shared" si="2"/>
        <x:v>0</x:v>
      </x:c>
      <x:c r="F21" s="21">
        <x:f t="shared" si="0"/>
        <x:v>0</x:v>
      </x:c>
      <x:c r="G21" s="15"/>
      <x:c r="H21" s="21">
        <x:f t="shared" si="1"/>
        <x:v>0</x:v>
      </x:c>
      <x:c r="I21" s="14" t="str">
        <x:v>Elektromos</x:v>
      </x:c>
      <x:c r="J21" s="14" t="s">
        <x:v>114</x:v>
      </x:c>
    </x:row>
    <x:row r="22">
      <x:c r="A22" s="13"/>
      <x:c r="B22" s="14" t="str">
        <x:v>Labour - mechanical fitter szerelés</x:v>
      </x:c>
      <x:c r="C22" s="12" t="str">
        <x:v>óra</x:v>
      </x:c>
      <x:c r="D22" s="20">
        <x:v>2.5</x:v>
      </x:c>
      <x:c r="E22" s="21">
        <x:f t="shared" si="2"/>
        <x:v>0</x:v>
      </x:c>
      <x:c r="F22" s="21">
        <x:f t="shared" si="0"/>
        <x:v>0</x:v>
      </x:c>
      <x:c r="G22" s="15"/>
      <x:c r="H22" s="21">
        <x:f t="shared" si="1"/>
        <x:v>0</x:v>
      </x:c>
      <x:c r="I22" s="14" t="str">
        <x:v>Munkaerő</x:v>
      </x:c>
      <x:c r="J22" s="14" t="str">
        <x:v>klt., csatlakoztatás, rögzítés</x:v>
      </x:c>
    </x:row>
    <x:row r="23">
      <x:c r="A23" s="13"/>
      <x:c r="B23" s="14" t="s">
        <x:v>115</x:v>
      </x:c>
      <x:c r="C23" s="12" t="str">
        <x:v>óra</x:v>
      </x:c>
      <x:c r="D23" s="20">
        <x:v>1.5</x:v>
      </x:c>
      <x:c r="E23" s="21">
        <x:f t="shared" si="2"/>
        <x:v>0</x:v>
      </x:c>
      <x:c r="F23" s="21">
        <x:f t="shared" si="0"/>
        <x:v>0</x:v>
      </x:c>
      <x:c r="G23" s="15"/>
      <x:c r="H23" s="21">
        <x:f t="shared" si="1"/>
        <x:v>0</x:v>
      </x:c>
      <x:c r="I23" s="14" t="str">
        <x:v>Munkaerő</x:v>
      </x:c>
      <x:c r="J23" s="14" t="s">
        <x:v>116</x:v>
      </x:c>
    </x:row>
    <x:row r="24">
      <x:c r="A24" s="13"/>
      <x:c r="B24" s="14" t="s">
        <x:v>117</x:v>
      </x:c>
      <x:c r="C24" s="12" t="str">
        <x:v>óra</x:v>
      </x:c>
      <x:c r="D24" s="20">
        <x:v>0.5</x:v>
      </x:c>
      <x:c r="E24" s="21">
        <x:f t="shared" si="2"/>
        <x:v>0</x:v>
      </x:c>
      <x:c r="F24" s="21">
        <x:f t="shared" si="0"/>
        <x:v>0</x:v>
      </x:c>
      <x:c r="G24" s="15"/>
      <x:c r="H24" s="21">
        <x:f t="shared" si="1"/>
        <x:v>0</x:v>
      </x:c>
      <x:c r="I24" s="14" t="str">
        <x:v>Munkaerő</x:v>
      </x:c>
      <x:c r="J24" s="14" t="str">
        <x:v>cső lagging</x:v>
      </x:c>
    </x:row>
    <x:row r="25">
      <x:c r="A25" s="13"/>
      <x:c r="B25" s="14" t="s">
        <x:v>118</x:v>
      </x:c>
      <x:c r="C25" s="12" t="str">
        <x:v>óra</x:v>
      </x:c>
      <x:c r="D25" s="20">
        <x:v>1</x:v>
      </x:c>
      <x:c r="E25" s="21">
        <x:f t="shared" si="2"/>
        <x:v>0</x:v>
      </x:c>
      <x:c r="F25" s="21">
        <x:f t="shared" si="0"/>
        <x:v>0</x:v>
      </x:c>
      <x:c r="G25" s="15"/>
      <x:c r="H25" s="21">
        <x:f t="shared" si="1"/>
        <x:v>0</x:v>
      </x:c>
      <x:c r="I25" s="14" t="str">
        <x:v>Munkaerő</x:v>
      </x:c>
      <x:c r="J25" s="14"/>
    </x:row>
    <x:row r="26">
      <x:c r="A26" s="13"/>
      <x:c r="B26" s="14" t="s">
        <x:v>119</x:v>
      </x:c>
      <x:c r="C26" s="12" t="str">
        <x:v>óra</x:v>
      </x:c>
      <x:c r="D26" s="20">
        <x:v>0.4</x:v>
      </x:c>
      <x:c r="E26" s="21">
        <x:f t="shared" si="2"/>
        <x:v>0</x:v>
      </x:c>
      <x:c r="F26" s="21">
        <x:f t="shared" si="0"/>
        <x:v>0</x:v>
      </x:c>
      <x:c r="G26" s="15"/>
      <x:c r="H26" s="21">
        <x:f t="shared" si="1"/>
        <x:v>0</x:v>
      </x:c>
      <x:c r="I26" s="14" t="str">
        <x:v>Gép</x:v>
      </x:c>
      <x:c r="J26" s="14" t="str">
        <x:v>mennyezet access</x:v>
      </x:c>
    </x:row>
    <x:row r="27">
      <x:c r="A27" s="22"/>
      <x:c r="B27" s="23" t="s">
        <x:v>120</x:v>
      </x:c>
      <x:c r="C27" s="22"/>
      <x:c r="D27" s="22"/>
      <x:c r="E27" s="22"/>
      <x:c r="F27" s="22"/>
      <x:c r="G27" s="22"/>
      <x:c r="H27" s="24" t="n">
        <x:f>SUM(H7:H26)</x:f>
        <x:v>0</x:v>
      </x:c>
      <x:c r="I27" s="22"/>
      <x:c r="J27" s="22"/>
    </x:row>
    <x:row r="29">
      <x:c r="J29" s="17" t="s">
        <x:v>121</x:v>
      </x:c>
    </x:row>
    <x:row r="30">
      <x:c r="A30" s="18" t="s">
        <x:v>113</x:v>
      </x:c>
      <x:c r="B30" s="19" t="str">
        <x:v>fan-coil - mennyezet alatt látszó / légcsatornába épített</x:v>
      </x:c>
      <x:c r="C30" s="12" t="str">
        <x:v>db</x:v>
      </x:c>
      <x:c r="D30" s="20">
        <x:v>1</x:v>
      </x:c>
      <x:c r="E30" s="16" t="n">
        <x:f>'HVAC QTO'!M33</x:f>
        <x:v>0</x:v>
      </x:c>
      <x:c r="F30" s="21" t="n">
        <x:f t="shared" ref="F30:F48" si="3">D30*E30</x:f>
        <x:v>0</x:v>
      </x:c>
      <x:c r="G30" s="15"/>
      <x:c r="H30" s="21" t="n">
        <x:f t="shared" ref="H30:H48" si="4">F30*G30</x:f>
        <x:v>0</x:v>
      </x:c>
      <x:c r="I30" s="14" t="str">
        <x:v>Gépészet</x:v>
      </x:c>
      <x:c r="J30" s="14" t="str">
        <x:v>csak anyagellátás</x:v>
      </x:c>
    </x:row>
    <x:row r="31">
      <x:c r="A31" s="13"/>
      <x:c r="B31" s="14" t="str">
        <x:v>rögzítő konzol / channel</x:v>
      </x:c>
      <x:c r="C31" s="12" t="str">
        <x:v>klt.</x:v>
      </x:c>
      <x:c r="D31" s="20">
        <x:v>1</x:v>
      </x:c>
      <x:c r="E31" s="21" t="n">
        <x:f t="shared" ref="E31:E48" si="5">E$30</x:f>
        <x:v>0</x:v>
      </x:c>
      <x:c r="F31" s="21">
        <x:f t="shared" si="3"/>
        <x:v>0</x:v>
      </x:c>
      <x:c r="G31" s="15"/>
      <x:c r="H31" s="21">
        <x:f t="shared" si="4"/>
        <x:v>0</x:v>
      </x:c>
      <x:c r="I31" s="14" t="str">
        <x:v>Gépészet</x:v>
      </x:c>
      <x:c r="J31" s="14" t="s">
        <x:v>122</x:v>
      </x:c>
    </x:row>
    <x:row r="32">
      <x:c r="A32" s="13"/>
      <x:c r="B32" s="14" t="str">
        <x:v>rezgésszigetelés pads</x:v>
      </x:c>
      <x:c r="C32" s="12" t="str">
        <x:v>klt.</x:v>
      </x:c>
      <x:c r="D32" s="20">
        <x:v>1</x:v>
      </x:c>
      <x:c r="E32" s="21">
        <x:f t="shared" si="5"/>
        <x:v>0</x:v>
      </x:c>
      <x:c r="F32" s="21">
        <x:f t="shared" si="3"/>
        <x:v>0</x:v>
      </x:c>
      <x:c r="G32" s="15"/>
      <x:c r="H32" s="21">
        <x:f t="shared" si="4"/>
        <x:v>0</x:v>
      </x:c>
      <x:c r="I32" s="14" t="str">
        <x:v>Gépészet</x:v>
      </x:c>
      <x:c r="J32" s="14"/>
    </x:row>
    <x:row r="33">
      <x:c r="A33" s="13"/>
      <x:c r="B33" s="14" t="str">
        <x:v>flexibilis légcsatorna csatlakozás - befúvás</x:v>
      </x:c>
      <x:c r="C33" s="12" t="str">
        <x:v>db</x:v>
      </x:c>
      <x:c r="D33" s="20">
        <x:v>1</x:v>
      </x:c>
      <x:c r="E33" s="21">
        <x:f t="shared" si="5"/>
        <x:v>0</x:v>
      </x:c>
      <x:c r="F33" s="21">
        <x:f t="shared" si="3"/>
        <x:v>0</x:v>
      </x:c>
      <x:c r="G33" s="15"/>
      <x:c r="H33" s="21">
        <x:f t="shared" si="4"/>
        <x:v>0</x:v>
      </x:c>
      <x:c r="I33" s="14" t="str">
        <x:v>Gépészet</x:v>
      </x:c>
      <x:c r="J33" s="14"/>
    </x:row>
    <x:row r="34">
      <x:c r="A34" s="13"/>
      <x:c r="B34" s="14" t="str">
        <x:v>flexibilis légcsatorna csatlakozás - elszívás / visszatérő</x:v>
      </x:c>
      <x:c r="C34" s="12" t="str">
        <x:v>db</x:v>
      </x:c>
      <x:c r="D34" s="20">
        <x:v>1</x:v>
      </x:c>
      <x:c r="E34" s="21">
        <x:f t="shared" si="5"/>
        <x:v>0</x:v>
      </x:c>
      <x:c r="F34" s="21">
        <x:f t="shared" si="3"/>
        <x:v>0</x:v>
      </x:c>
      <x:c r="G34" s="15"/>
      <x:c r="H34" s="21">
        <x:f t="shared" si="4"/>
        <x:v>0</x:v>
      </x:c>
      <x:c r="I34" s="14" t="str">
        <x:v>Gépészet</x:v>
      </x:c>
      <x:c r="J34" s="14"/>
    </x:row>
    <x:row r="35">
      <x:c r="A35" s="13"/>
      <x:c r="B35" s="14" t="str">
        <x:v>hűtött víz flexibilis csatlakozás (pair)</x:v>
      </x:c>
      <x:c r="C35" s="12" t="str">
        <x:v>db</x:v>
      </x:c>
      <x:c r="D35" s="20">
        <x:v>2</x:v>
      </x:c>
      <x:c r="E35" s="21">
        <x:f t="shared" si="5"/>
        <x:v>0</x:v>
      </x:c>
      <x:c r="F35" s="21">
        <x:f t="shared" si="3"/>
        <x:v>0</x:v>
      </x:c>
      <x:c r="G35" s="15"/>
      <x:c r="H35" s="21">
        <x:f t="shared" si="4"/>
        <x:v>0</x:v>
      </x:c>
      <x:c r="I35" s="14" t="str">
        <x:v>Gépészet</x:v>
      </x:c>
      <x:c r="J35" s="14"/>
    </x:row>
    <x:row r="36">
      <x:c r="A36" s="13"/>
      <x:c r="B36" s="14" t="str">
        <x:v>szabályozószelep - kétjáratú moduláló</x:v>
      </x:c>
      <x:c r="C36" s="12" t="str">
        <x:v>db</x:v>
      </x:c>
      <x:c r="D36" s="20">
        <x:v>1</x:v>
      </x:c>
      <x:c r="E36" s="21">
        <x:f t="shared" si="5"/>
        <x:v>0</x:v>
      </x:c>
      <x:c r="F36" s="21">
        <x:f t="shared" si="3"/>
        <x:v>0</x:v>
      </x:c>
      <x:c r="G36" s="15"/>
      <x:c r="H36" s="21">
        <x:f t="shared" si="4"/>
        <x:v>0</x:v>
      </x:c>
      <x:c r="I36" s="14" t="str">
        <x:v>Gépészet</x:v>
      </x:c>
      <x:c r="J36" s="14"/>
    </x:row>
    <x:row r="37">
      <x:c r="A37" s="13"/>
      <x:c r="B37" s="14" t="str">
        <x:v>szűrő - Y-kivitel</x:v>
      </x:c>
      <x:c r="C37" s="12" t="str">
        <x:v>db</x:v>
      </x:c>
      <x:c r="D37" s="20">
        <x:v>1</x:v>
      </x:c>
      <x:c r="E37" s="21">
        <x:f t="shared" si="5"/>
        <x:v>0</x:v>
      </x:c>
      <x:c r="F37" s="21">
        <x:f t="shared" si="3"/>
        <x:v>0</x:v>
      </x:c>
      <x:c r="G37" s="15"/>
      <x:c r="H37" s="21">
        <x:f t="shared" si="4"/>
        <x:v>0</x:v>
      </x:c>
      <x:c r="I37" s="14" t="str">
        <x:v>Gépészet</x:v>
      </x:c>
      <x:c r="J37" s="14"/>
    </x:row>
    <x:row r="38">
      <x:c r="A38" s="13"/>
      <x:c r="B38" s="14" t="str">
        <x:v>elzáró szelep - ball</x:v>
      </x:c>
      <x:c r="C38" s="12" t="str">
        <x:v>db</x:v>
      </x:c>
      <x:c r="D38" s="20">
        <x:v>2</x:v>
      </x:c>
      <x:c r="E38" s="21">
        <x:f t="shared" si="5"/>
        <x:v>0</x:v>
      </x:c>
      <x:c r="F38" s="21">
        <x:f t="shared" si="3"/>
        <x:v>0</x:v>
      </x:c>
      <x:c r="G38" s="15"/>
      <x:c r="H38" s="21">
        <x:f t="shared" si="4"/>
        <x:v>0</x:v>
      </x:c>
      <x:c r="I38" s="14" t="str">
        <x:v>Gépészet</x:v>
      </x:c>
      <x:c r="J38" s="14"/>
    </x:row>
    <x:row r="39">
      <x:c r="A39" s="13"/>
      <x:c r="B39" s="14" t="str">
        <x:v>légtelenítő - automatikus</x:v>
      </x:c>
      <x:c r="C39" s="12" t="str">
        <x:v>db</x:v>
      </x:c>
      <x:c r="D39" s="20">
        <x:v>1</x:v>
      </x:c>
      <x:c r="E39" s="21">
        <x:f t="shared" si="5"/>
        <x:v>0</x:v>
      </x:c>
      <x:c r="F39" s="21">
        <x:f t="shared" si="3"/>
        <x:v>0</x:v>
      </x:c>
      <x:c r="G39" s="15"/>
      <x:c r="H39" s="21">
        <x:f t="shared" si="4"/>
        <x:v>0</x:v>
      </x:c>
      <x:c r="I39" s="14" t="str">
        <x:v>Gépészet</x:v>
      </x:c>
      <x:c r="J39" s="14"/>
    </x:row>
    <x:row r="40">
      <x:c r="A40" s="13"/>
      <x:c r="B40" s="14" t="str">
        <x:v>kondenzvíz-elvezetés cső</x:v>
      </x:c>
      <x:c r="C40" s="12" t="str">
        <x:v>fm</x:v>
      </x:c>
      <x:c r="D40" s="20">
        <x:v>4</x:v>
      </x:c>
      <x:c r="E40" s="21">
        <x:f t="shared" si="5"/>
        <x:v>0</x:v>
      </x:c>
      <x:c r="F40" s="21">
        <x:f t="shared" si="3"/>
        <x:v>0</x:v>
      </x:c>
      <x:c r="G40" s="15"/>
      <x:c r="H40" s="21">
        <x:f t="shared" si="4"/>
        <x:v>0</x:v>
      </x:c>
      <x:c r="I40" s="14" t="str">
        <x:v>Gépészet</x:v>
      </x:c>
      <x:c r="J40" s="14" t="s">
        <x:v>123</x:v>
      </x:c>
    </x:row>
    <x:row r="41">
      <x:c r="A41" s="13"/>
      <x:c r="B41" s="14" t="str">
        <x:v>cső szigetelés - hűtött víz</x:v>
      </x:c>
      <x:c r="C41" s="12" t="str">
        <x:v>fm</x:v>
      </x:c>
      <x:c r="D41" s="20">
        <x:v>4</x:v>
      </x:c>
      <x:c r="E41" s="21">
        <x:f t="shared" si="5"/>
        <x:v>0</x:v>
      </x:c>
      <x:c r="F41" s="21">
        <x:f t="shared" si="3"/>
        <x:v>0</x:v>
      </x:c>
      <x:c r="G41" s="15"/>
      <x:c r="H41" s="21">
        <x:f t="shared" si="4"/>
        <x:v>0</x:v>
      </x:c>
      <x:c r="I41" s="14" t="str">
        <x:v>Gépészet</x:v>
      </x:c>
      <x:c r="J41" s="14"/>
    </x:row>
    <x:row r="42">
      <x:c r="A42" s="13"/>
      <x:c r="B42" s="14" t="str">
        <x:v>BMS érzékelő - elszívott / visszatérő levegő temp</x:v>
      </x:c>
      <x:c r="C42" s="12" t="str">
        <x:v>db</x:v>
      </x:c>
      <x:c r="D42" s="20">
        <x:v>1</x:v>
      </x:c>
      <x:c r="E42" s="21">
        <x:f t="shared" si="5"/>
        <x:v>0</x:v>
      </x:c>
      <x:c r="F42" s="21">
        <x:f t="shared" si="3"/>
        <x:v>0</x:v>
      </x:c>
      <x:c r="G42" s="15"/>
      <x:c r="H42" s="21">
        <x:f t="shared" si="4"/>
        <x:v>0</x:v>
      </x:c>
      <x:c r="I42" s="14" t="str">
        <x:v>BMS épületfelügyelet</x:v>
      </x:c>
      <x:c r="J42" s="14"/>
    </x:row>
    <x:row r="43">
      <x:c r="A43" s="13"/>
      <x:c r="B43" s="14" t="str">
        <x:v>Power kábel</x:v>
      </x:c>
      <x:c r="C43" s="12" t="str">
        <x:v>fm</x:v>
      </x:c>
      <x:c r="D43" s="20">
        <x:v>10</x:v>
      </x:c>
      <x:c r="E43" s="21">
        <x:f t="shared" si="5"/>
        <x:v>0</x:v>
      </x:c>
      <x:c r="F43" s="21">
        <x:f t="shared" si="3"/>
        <x:v>0</x:v>
      </x:c>
      <x:c r="G43" s="15"/>
      <x:c r="H43" s="21">
        <x:f t="shared" si="4"/>
        <x:v>0</x:v>
      </x:c>
      <x:c r="I43" s="14" t="str">
        <x:v>Elektromos</x:v>
      </x:c>
      <x:c r="J43" s="14"/>
    </x:row>
    <x:row r="44">
      <x:c r="A44" s="13"/>
      <x:c r="B44" s="14" t="str">
        <x:v>Labour - mechanical fitter szerelés</x:v>
      </x:c>
      <x:c r="C44" s="12" t="str">
        <x:v>óra</x:v>
      </x:c>
      <x:c r="D44" s="20">
        <x:v>3</x:v>
      </x:c>
      <x:c r="E44" s="21">
        <x:f t="shared" si="5"/>
        <x:v>0</x:v>
      </x:c>
      <x:c r="F44" s="21">
        <x:f t="shared" si="3"/>
        <x:v>0</x:v>
      </x:c>
      <x:c r="G44" s="15"/>
      <x:c r="H44" s="21">
        <x:f t="shared" si="4"/>
        <x:v>0</x:v>
      </x:c>
      <x:c r="I44" s="14" t="str">
        <x:v>Munkaerő</x:v>
      </x:c>
      <x:c r="J44" s="14" t="s">
        <x:v>124</x:v>
      </x:c>
    </x:row>
    <x:row r="45">
      <x:c r="A45" s="13"/>
      <x:c r="B45" s="14" t="s">
        <x:v>115</x:v>
      </x:c>
      <x:c r="C45" s="12" t="str">
        <x:v>óra</x:v>
      </x:c>
      <x:c r="D45" s="20">
        <x:v>1.5</x:v>
      </x:c>
      <x:c r="E45" s="21">
        <x:f t="shared" si="5"/>
        <x:v>0</x:v>
      </x:c>
      <x:c r="F45" s="21">
        <x:f t="shared" si="3"/>
        <x:v>0</x:v>
      </x:c>
      <x:c r="G45" s="15"/>
      <x:c r="H45" s="21">
        <x:f t="shared" si="4"/>
        <x:v>0</x:v>
      </x:c>
      <x:c r="I45" s="14" t="str">
        <x:v>Munkaerő</x:v>
      </x:c>
      <x:c r="J45" s="14"/>
    </x:row>
    <x:row r="46">
      <x:c r="A46" s="13"/>
      <x:c r="B46" s="14" t="s">
        <x:v>117</x:v>
      </x:c>
      <x:c r="C46" s="12" t="str">
        <x:v>óra</x:v>
      </x:c>
      <x:c r="D46" s="20">
        <x:v>0.5</x:v>
      </x:c>
      <x:c r="E46" s="21">
        <x:f t="shared" si="5"/>
        <x:v>0</x:v>
      </x:c>
      <x:c r="F46" s="21">
        <x:f t="shared" si="3"/>
        <x:v>0</x:v>
      </x:c>
      <x:c r="G46" s="15"/>
      <x:c r="H46" s="21">
        <x:f t="shared" si="4"/>
        <x:v>0</x:v>
      </x:c>
      <x:c r="I46" s="14" t="str">
        <x:v>Munkaerő</x:v>
      </x:c>
      <x:c r="J46" s="14"/>
    </x:row>
    <x:row r="47">
      <x:c r="A47" s="13"/>
      <x:c r="B47" s="14" t="s">
        <x:v>125</x:v>
      </x:c>
      <x:c r="C47" s="12" t="str">
        <x:v>óra</x:v>
      </x:c>
      <x:c r="D47" s="20">
        <x:v>1</x:v>
      </x:c>
      <x:c r="E47" s="21">
        <x:f t="shared" si="5"/>
        <x:v>0</x:v>
      </x:c>
      <x:c r="F47" s="21">
        <x:f t="shared" si="3"/>
        <x:v>0</x:v>
      </x:c>
      <x:c r="G47" s="15"/>
      <x:c r="H47" s="21">
        <x:f t="shared" si="4"/>
        <x:v>0</x:v>
      </x:c>
      <x:c r="I47" s="14" t="str">
        <x:v>Munkaerő</x:v>
      </x:c>
      <x:c r="J47" s="14"/>
    </x:row>
    <x:row r="48">
      <x:c r="A48" s="13"/>
      <x:c r="B48" s="14" t="s">
        <x:v>126</x:v>
      </x:c>
      <x:c r="C48" s="12" t="str">
        <x:v>óra</x:v>
      </x:c>
      <x:c r="D48" s="20">
        <x:v>0.5</x:v>
      </x:c>
      <x:c r="E48" s="21">
        <x:f t="shared" si="5"/>
        <x:v>0</x:v>
      </x:c>
      <x:c r="F48" s="21">
        <x:f t="shared" si="3"/>
        <x:v>0</x:v>
      </x:c>
      <x:c r="G48" s="15"/>
      <x:c r="H48" s="21">
        <x:f t="shared" si="4"/>
        <x:v>0</x:v>
      </x:c>
      <x:c r="I48" s="14" t="str">
        <x:v>Gép</x:v>
      </x:c>
      <x:c r="J48" s="14"/>
    </x:row>
    <x:row r="49">
      <x:c r="A49" s="22"/>
      <x:c r="B49" s="23" t="s">
        <x:v>127</x:v>
      </x:c>
      <x:c r="C49" s="22"/>
      <x:c r="D49" s="22"/>
      <x:c r="E49" s="22"/>
      <x:c r="F49" s="22"/>
      <x:c r="G49" s="22"/>
      <x:c r="H49" s="24" t="n">
        <x:f>SUM(H30:H48)</x:f>
        <x:v>0</x:v>
      </x:c>
      <x:c r="I49" s="22"/>
      <x:c r="J49" s="22"/>
    </x:row>
    <x:row r="51">
      <x:c r="J51" s="17" t="str">
        <x:v>Mennyiségfelvétel hivatkozás 4.1</x:v>
      </x:c>
    </x:row>
    <x:row r="52">
      <x:c r="A52" s="18" t="s">
        <x:v>113</x:v>
      </x:c>
      <x:c r="B52" s="19" t="str">
        <x:v>négyszög keresztmetszetű légcsatorna - horganyzott</x:v>
      </x:c>
      <x:c r="C52" s="12" t="str">
        <x:v>fm</x:v>
      </x:c>
      <x:c r="D52" s="20">
        <x:v>1</x:v>
      </x:c>
      <x:c r="E52" s="16" t="n">
        <x:f>'HVAC QTO'!M45</x:f>
        <x:v>0</x:v>
      </x:c>
      <x:c r="F52" s="21" t="n">
        <x:f t="shared" ref="F52:F62" si="6">D52*E52</x:f>
        <x:v>0</x:v>
      </x:c>
      <x:c r="G52" s="15"/>
      <x:c r="H52" s="21" t="n">
        <x:f t="shared" ref="H52:H62" si="7">F52*G52</x:f>
        <x:v>0</x:v>
      </x:c>
      <x:c r="I52" s="14" t="str">
        <x:v>Gépészet</x:v>
      </x:c>
      <x:c r="J52" s="14" t="str">
        <x:v>csak anyagellátás</x:v>
      </x:c>
    </x:row>
    <x:row r="53">
      <x:c r="A53" s="13"/>
      <x:c r="B53" s="14" t="s">
        <x:v>128</x:v>
      </x:c>
      <x:c r="C53" s="12" t="str">
        <x:v>db</x:v>
      </x:c>
      <x:c r="D53" s="20">
        <x:v>0.83</x:v>
      </x:c>
      <x:c r="E53" s="21" t="n">
        <x:f t="shared" ref="E53:E62" si="8">E$52</x:f>
        <x:v>0</x:v>
      </x:c>
      <x:c r="F53" s="21">
        <x:f t="shared" si="6"/>
        <x:v>0</x:v>
      </x:c>
      <x:c r="G53" s="15"/>
      <x:c r="H53" s="21">
        <x:f t="shared" si="7"/>
        <x:v>0</x:v>
      </x:c>
      <x:c r="I53" s="14" t="str">
        <x:v>Gépészet</x:v>
      </x:c>
      <x:c r="J53" s="14" t="s">
        <x:v>129</x:v>
      </x:c>
    </x:row>
    <x:row r="54">
      <x:c r="A54" s="13"/>
      <x:c r="B54" s="14" t="str">
        <x:v>függesztő - menetes szár &amp; bracket</x:v>
      </x:c>
      <x:c r="C54" s="12" t="str">
        <x:v>klt.</x:v>
      </x:c>
      <x:c r="D54" s="20">
        <x:v>0.5</x:v>
      </x:c>
      <x:c r="E54" s="21">
        <x:f t="shared" si="8"/>
        <x:v>0</x:v>
      </x:c>
      <x:c r="F54" s="21">
        <x:f t="shared" si="6"/>
        <x:v>0</x:v>
      </x:c>
      <x:c r="G54" s="15"/>
      <x:c r="H54" s="21">
        <x:f t="shared" si="7"/>
        <x:v>0</x:v>
      </x:c>
      <x:c r="I54" s="14" t="str">
        <x:v>Gépészet</x:v>
      </x:c>
      <x:c r="J54" s="14" t="s">
        <x:v>130</x:v>
      </x:c>
    </x:row>
    <x:row r="55">
      <x:c r="A55" s="13"/>
      <x:c r="B55" s="14" t="s">
        <x:v>131</x:v>
      </x:c>
      <x:c r="C55" s="12" t="str">
        <x:v>db</x:v>
      </x:c>
      <x:c r="D55" s="20">
        <x:v>1</x:v>
      </x:c>
      <x:c r="E55" s="21">
        <x:f t="shared" si="8"/>
        <x:v>0</x:v>
      </x:c>
      <x:c r="F55" s="21">
        <x:f t="shared" si="6"/>
        <x:v>0</x:v>
      </x:c>
      <x:c r="G55" s="15"/>
      <x:c r="H55" s="21">
        <x:f t="shared" si="7"/>
        <x:v>0</x:v>
      </x:c>
      <x:c r="I55" s="14" t="str">
        <x:v>Gépészet</x:v>
      </x:c>
      <x:c r="J55" s="14" t="str">
        <x:v>2 per függesztő</x:v>
      </x:c>
    </x:row>
    <x:row r="56">
      <x:c r="A56" s="13"/>
      <x:c r="B56" s="14" t="str">
        <x:v>légcsatorna tömítőanyag (mastic)</x:v>
      </x:c>
      <x:c r="C56" s="12" t="str">
        <x:v>tubus</x:v>
      </x:c>
      <x:c r="D56" s="20">
        <x:v>0.3</x:v>
      </x:c>
      <x:c r="E56" s="21">
        <x:f t="shared" si="8"/>
        <x:v>0</x:v>
      </x:c>
      <x:c r="F56" s="21">
        <x:f t="shared" si="6"/>
        <x:v>0</x:v>
      </x:c>
      <x:c r="G56" s="15"/>
      <x:c r="H56" s="21">
        <x:f t="shared" si="7"/>
        <x:v>0</x:v>
      </x:c>
      <x:c r="I56" s="14" t="str">
        <x:v>Gépészet</x:v>
      </x:c>
      <x:c r="J56" s="14" t="s">
        <x:v>132</x:v>
      </x:c>
    </x:row>
    <x:row r="57">
      <x:c r="A57" s="13"/>
      <x:c r="B57" s="14" t="str">
        <x:v>légcsatorna szigetelés - external (50mm)</x:v>
      </x:c>
      <x:c r="C57" s="12" t="s">
        <x:v>53</x:v>
      </x:c>
      <x:c r="D57" s="20">
        <x:v>2</x:v>
      </x:c>
      <x:c r="E57" s="21">
        <x:f t="shared" si="8"/>
        <x:v>0</x:v>
      </x:c>
      <x:c r="F57" s="21">
        <x:f t="shared" si="6"/>
        <x:v>0</x:v>
      </x:c>
      <x:c r="G57" s="15"/>
      <x:c r="H57" s="21">
        <x:f t="shared" si="7"/>
        <x:v>0</x:v>
      </x:c>
      <x:c r="I57" s="14" t="str">
        <x:v>Gépészet</x:v>
      </x:c>
      <x:c r="J57" s="14" t="str">
        <x:v>Approx 2× perimeter folyóméterenként</x:v>
      </x:c>
    </x:row>
    <x:row r="58">
      <x:c r="A58" s="13"/>
      <x:c r="B58" s="14" t="str">
        <x:v>kábel szalag / fasteners / sundries</x:v>
      </x:c>
      <x:c r="C58" s="12" t="str">
        <x:v>klt.</x:v>
      </x:c>
      <x:c r="D58" s="20">
        <x:v>1</x:v>
      </x:c>
      <x:c r="E58" s="21">
        <x:f t="shared" si="8"/>
        <x:v>0</x:v>
      </x:c>
      <x:c r="F58" s="21">
        <x:f t="shared" si="6"/>
        <x:v>0</x:v>
      </x:c>
      <x:c r="G58" s="15"/>
      <x:c r="H58" s="21">
        <x:f t="shared" si="7"/>
        <x:v>0</x:v>
      </x:c>
      <x:c r="I58" s="14" t="str">
        <x:v>Gépészet</x:v>
      </x:c>
      <x:c r="J58" s="14"/>
    </x:row>
    <x:row r="59">
      <x:c r="A59" s="13"/>
      <x:c r="B59" s="14" t="str">
        <x:v>Labour - sheetmetal szerelés</x:v>
      </x:c>
      <x:c r="C59" s="12" t="str">
        <x:v>óra</x:v>
      </x:c>
      <x:c r="D59" s="20">
        <x:v>0.45</x:v>
      </x:c>
      <x:c r="E59" s="21">
        <x:f t="shared" si="8"/>
        <x:v>0</x:v>
      </x:c>
      <x:c r="F59" s="21">
        <x:f t="shared" si="6"/>
        <x:v>0</x:v>
      </x:c>
      <x:c r="G59" s="15"/>
      <x:c r="H59" s="21">
        <x:f t="shared" si="7"/>
        <x:v>0</x:v>
      </x:c>
      <x:c r="I59" s="14" t="str">
        <x:v>Munkaerő</x:v>
      </x:c>
      <x:c r="J59" s="14" t="str">
        <x:v>Std mennyezet void szerelés</x:v>
      </x:c>
    </x:row>
    <x:row r="60">
      <x:c r="A60" s="13"/>
      <x:c r="B60" s="14" t="str">
        <x:v>Labour - sheetmetal tartószerkezetek</x:v>
      </x:c>
      <x:c r="C60" s="12" t="str">
        <x:v>óra</x:v>
      </x:c>
      <x:c r="D60" s="20">
        <x:v>0.15</x:v>
      </x:c>
      <x:c r="E60" s="21">
        <x:f t="shared" si="8"/>
        <x:v>0</x:v>
      </x:c>
      <x:c r="F60" s="21">
        <x:f t="shared" si="6"/>
        <x:v>0</x:v>
      </x:c>
      <x:c r="G60" s="15"/>
      <x:c r="H60" s="21">
        <x:f t="shared" si="7"/>
        <x:v>0</x:v>
      </x:c>
      <x:c r="I60" s="14" t="str">
        <x:v>Munkaerő</x:v>
      </x:c>
      <x:c r="J60" s="14"/>
    </x:row>
    <x:row r="61">
      <x:c r="A61" s="13"/>
      <x:c r="B61" s="14" t="s">
        <x:v>117</x:v>
      </x:c>
      <x:c r="C61" s="12" t="str">
        <x:v>óra</x:v>
      </x:c>
      <x:c r="D61" s="20">
        <x:v>0.35</x:v>
      </x:c>
      <x:c r="E61" s="21">
        <x:f t="shared" si="8"/>
        <x:v>0</x:v>
      </x:c>
      <x:c r="F61" s="21">
        <x:f t="shared" si="6"/>
        <x:v>0</x:v>
      </x:c>
      <x:c r="G61" s="15"/>
      <x:c r="H61" s="21">
        <x:f t="shared" si="7"/>
        <x:v>0</x:v>
      </x:c>
      <x:c r="I61" s="14" t="str">
        <x:v>Munkaerő</x:v>
      </x:c>
      <x:c r="J61" s="14" t="str">
        <x:v>külső kasírozás</x:v>
      </x:c>
    </x:row>
    <x:row r="62">
      <x:c r="A62" s="13"/>
      <x:c r="B62" s="14" t="s">
        <x:v>126</x:v>
      </x:c>
      <x:c r="C62" s="12" t="str">
        <x:v>óra</x:v>
      </x:c>
      <x:c r="D62" s="20">
        <x:v>0.15</x:v>
      </x:c>
      <x:c r="E62" s="21">
        <x:f t="shared" si="8"/>
        <x:v>0</x:v>
      </x:c>
      <x:c r="F62" s="21">
        <x:f t="shared" si="6"/>
        <x:v>0</x:v>
      </x:c>
      <x:c r="G62" s="15"/>
      <x:c r="H62" s="21">
        <x:f t="shared" si="7"/>
        <x:v>0</x:v>
      </x:c>
      <x:c r="I62" s="14" t="str">
        <x:v>Gép</x:v>
      </x:c>
      <x:c r="J62" s="14" t="str">
        <x:v>arányosítva</x:v>
      </x:c>
    </x:row>
    <x:row r="63">
      <x:c r="A63" s="22"/>
      <x:c r="B63" s="23" t="s">
        <x:v>133</x:v>
      </x:c>
      <x:c r="C63" s="22"/>
      <x:c r="D63" s="22"/>
      <x:c r="E63" s="22"/>
      <x:c r="F63" s="22"/>
      <x:c r="G63" s="22"/>
      <x:c r="H63" s="24" t="n">
        <x:f>SUM(H52:H62)</x:f>
        <x:v>0</x:v>
      </x:c>
      <x:c r="I63" s="22"/>
      <x:c r="J63" s="22"/>
    </x:row>
    <x:row r="65">
      <x:c r="J65" s="17" t="s">
        <x:v>134</x:v>
      </x:c>
    </x:row>
    <x:row r="66">
      <x:c r="A66" s="18" t="s">
        <x:v>113</x:v>
      </x:c>
      <x:c r="B66" s="19" t="str">
        <x:v>spirálkorcolt / kör keresztmetszetű légcsatorna - horganyzott</x:v>
      </x:c>
      <x:c r="C66" s="12" t="str">
        <x:v>fm</x:v>
      </x:c>
      <x:c r="D66" s="20">
        <x:v>1</x:v>
      </x:c>
      <x:c r="E66" s="16" t="n">
        <x:f>'HVAC QTO'!M46</x:f>
        <x:v>0</x:v>
      </x:c>
      <x:c r="F66" s="21" t="n">
        <x:f t="shared" ref="F66:F77" si="9">D66*E66</x:f>
        <x:v>0</x:v>
      </x:c>
      <x:c r="G66" s="15"/>
      <x:c r="H66" s="21" t="n">
        <x:f t="shared" ref="H66:H77" si="10">F66*G66</x:f>
        <x:v>0</x:v>
      </x:c>
      <x:c r="I66" s="14" t="str">
        <x:v>Gépészet</x:v>
      </x:c>
      <x:c r="J66" s="14" t="str">
        <x:v>csak anyagellátás</x:v>
      </x:c>
    </x:row>
    <x:row r="67">
      <x:c r="A67" s="13"/>
      <x:c r="B67" s="14" t="s">
        <x:v>135</x:v>
      </x:c>
      <x:c r="C67" s="12" t="str">
        <x:v>db</x:v>
      </x:c>
      <x:c r="D67" s="20">
        <x:v>0.5</x:v>
      </x:c>
      <x:c r="E67" s="21" t="n">
        <x:f t="shared" ref="E67:E77" si="11">E$66</x:f>
        <x:v>0</x:v>
      </x:c>
      <x:c r="F67" s="21">
        <x:f t="shared" si="9"/>
        <x:v>0</x:v>
      </x:c>
      <x:c r="G67" s="15"/>
      <x:c r="H67" s="21">
        <x:f t="shared" si="10"/>
        <x:v>0</x:v>
      </x:c>
      <x:c r="I67" s="14" t="str">
        <x:v>Gépészet</x:v>
      </x:c>
      <x:c r="J67" s="14" t="s">
        <x:v>136</x:v>
      </x:c>
    </x:row>
    <x:row r="68">
      <x:c r="A68" s="13"/>
      <x:c r="B68" s="14" t="str">
        <x:v>Band függesztő</x:v>
      </x:c>
      <x:c r="C68" s="12" t="str">
        <x:v>db</x:v>
      </x:c>
      <x:c r="D68" s="20">
        <x:v>0.4</x:v>
      </x:c>
      <x:c r="E68" s="21">
        <x:f t="shared" si="11"/>
        <x:v>0</x:v>
      </x:c>
      <x:c r="F68" s="21">
        <x:f t="shared" si="9"/>
        <x:v>0</x:v>
      </x:c>
      <x:c r="G68" s="15"/>
      <x:c r="H68" s="21">
        <x:f t="shared" si="10"/>
        <x:v>0</x:v>
      </x:c>
      <x:c r="I68" s="14" t="str">
        <x:v>Gépészet</x:v>
      </x:c>
      <x:c r="J68" s="14" t="s">
        <x:v>137</x:v>
      </x:c>
    </x:row>
    <x:row r="69">
      <x:c r="A69" s="13"/>
      <x:c r="B69" s="14" t="str">
        <x:v>menetes szár</x:v>
      </x:c>
      <x:c r="C69" s="12" t="str">
        <x:v>fm</x:v>
      </x:c>
      <x:c r="D69" s="20">
        <x:v>0.25</x:v>
      </x:c>
      <x:c r="E69" s="21">
        <x:f t="shared" si="11"/>
        <x:v>0</x:v>
      </x:c>
      <x:c r="F69" s="21">
        <x:f t="shared" si="9"/>
        <x:v>0</x:v>
      </x:c>
      <x:c r="G69" s="15"/>
      <x:c r="H69" s="21">
        <x:f t="shared" si="10"/>
        <x:v>0</x:v>
      </x:c>
      <x:c r="I69" s="14" t="str">
        <x:v>Gépészet</x:v>
      </x:c>
      <x:c r="J69" s="14" t="str">
        <x:v>0.5m drop átlagos</x:v>
      </x:c>
    </x:row>
    <x:row r="70">
      <x:c r="A70" s="13"/>
      <x:c r="B70" s="14" t="s">
        <x:v>138</x:v>
      </x:c>
      <x:c r="C70" s="12" t="str">
        <x:v>db</x:v>
      </x:c>
      <x:c r="D70" s="20">
        <x:v>0.4</x:v>
      </x:c>
      <x:c r="E70" s="21">
        <x:f t="shared" si="11"/>
        <x:v>0</x:v>
      </x:c>
      <x:c r="F70" s="21">
        <x:f t="shared" si="9"/>
        <x:v>0</x:v>
      </x:c>
      <x:c r="G70" s="15"/>
      <x:c r="H70" s="21">
        <x:f t="shared" si="10"/>
        <x:v>0</x:v>
      </x:c>
      <x:c r="I70" s="14" t="str">
        <x:v>Gépészet</x:v>
      </x:c>
      <x:c r="J70" s="14"/>
    </x:row>
    <x:row r="71">
      <x:c r="A71" s="13"/>
      <x:c r="B71" s="14" t="str">
        <x:v>tömítőanyag</x:v>
      </x:c>
      <x:c r="C71" s="12" t="str">
        <x:v>tubus</x:v>
      </x:c>
      <x:c r="D71" s="20">
        <x:v>0.2</x:v>
      </x:c>
      <x:c r="E71" s="21">
        <x:f t="shared" si="11"/>
        <x:v>0</x:v>
      </x:c>
      <x:c r="F71" s="21">
        <x:f t="shared" si="9"/>
        <x:v>0</x:v>
      </x:c>
      <x:c r="G71" s="15"/>
      <x:c r="H71" s="21">
        <x:f t="shared" si="10"/>
        <x:v>0</x:v>
      </x:c>
      <x:c r="I71" s="14" t="str">
        <x:v>Gépészet</x:v>
      </x:c>
      <x:c r="J71" s="14"/>
    </x:row>
    <x:row r="72">
      <x:c r="A72" s="13"/>
      <x:c r="B72" s="14" t="str">
        <x:v>szigetelés - külső kasírozás (50mm)</x:v>
      </x:c>
      <x:c r="C72" s="12" t="s">
        <x:v>53</x:v>
      </x:c>
      <x:c r="D72" s="20">
        <x:v>1.3</x:v>
      </x:c>
      <x:c r="E72" s="21">
        <x:f t="shared" si="11"/>
        <x:v>0</x:v>
      </x:c>
      <x:c r="F72" s="21">
        <x:f t="shared" si="9"/>
        <x:v>0</x:v>
      </x:c>
      <x:c r="G72" s="15"/>
      <x:c r="H72" s="21">
        <x:f t="shared" si="10"/>
        <x:v>0</x:v>
      </x:c>
      <x:c r="I72" s="14" t="str">
        <x:v>Gépészet</x:v>
      </x:c>
      <x:c r="J72" s="14" t="str">
        <x:v>π × átmérő × length</x:v>
      </x:c>
    </x:row>
    <x:row r="73">
      <x:c r="A73" s="13"/>
      <x:c r="B73" s="14" t="s">
        <x:v>139</x:v>
      </x:c>
      <x:c r="C73" s="12" t="str">
        <x:v>klt.</x:v>
      </x:c>
      <x:c r="D73" s="20">
        <x:v>1</x:v>
      </x:c>
      <x:c r="E73" s="21">
        <x:f t="shared" si="11"/>
        <x:v>0</x:v>
      </x:c>
      <x:c r="F73" s="21">
        <x:f t="shared" si="9"/>
        <x:v>0</x:v>
      </x:c>
      <x:c r="G73" s="15"/>
      <x:c r="H73" s="21">
        <x:f t="shared" si="10"/>
        <x:v>0</x:v>
      </x:c>
      <x:c r="I73" s="14" t="str">
        <x:v>Gépészet</x:v>
      </x:c>
      <x:c r="J73" s="14"/>
    </x:row>
    <x:row r="74">
      <x:c r="A74" s="13"/>
      <x:c r="B74" s="14" t="str">
        <x:v>Labour - sheetmetal szerelés</x:v>
      </x:c>
      <x:c r="C74" s="12" t="str">
        <x:v>óra</x:v>
      </x:c>
      <x:c r="D74" s="20">
        <x:v>0.3</x:v>
      </x:c>
      <x:c r="E74" s="21">
        <x:f t="shared" si="11"/>
        <x:v>0</x:v>
      </x:c>
      <x:c r="F74" s="21">
        <x:f t="shared" si="9"/>
        <x:v>0</x:v>
      </x:c>
      <x:c r="G74" s="15"/>
      <x:c r="H74" s="21">
        <x:f t="shared" si="10"/>
        <x:v>0</x:v>
      </x:c>
      <x:c r="I74" s="14" t="str">
        <x:v>Munkaerő</x:v>
      </x:c>
      <x:c r="J74" s="14" t="str">
        <x:v>Faster than négyszög keresztmetszetű</x:v>
      </x:c>
    </x:row>
    <x:row r="75">
      <x:c r="A75" s="13"/>
      <x:c r="B75" s="14" t="str">
        <x:v>Labour - sheetmetal tartószerkezetek</x:v>
      </x:c>
      <x:c r="C75" s="12" t="str">
        <x:v>óra</x:v>
      </x:c>
      <x:c r="D75" s="20">
        <x:v>0.1</x:v>
      </x:c>
      <x:c r="E75" s="21">
        <x:f t="shared" si="11"/>
        <x:v>0</x:v>
      </x:c>
      <x:c r="F75" s="21">
        <x:f t="shared" si="9"/>
        <x:v>0</x:v>
      </x:c>
      <x:c r="G75" s="15"/>
      <x:c r="H75" s="21">
        <x:f t="shared" si="10"/>
        <x:v>0</x:v>
      </x:c>
      <x:c r="I75" s="14" t="str">
        <x:v>Munkaerő</x:v>
      </x:c>
      <x:c r="J75" s="14"/>
    </x:row>
    <x:row r="76">
      <x:c r="A76" s="13"/>
      <x:c r="B76" s="14" t="s">
        <x:v>117</x:v>
      </x:c>
      <x:c r="C76" s="12" t="str">
        <x:v>óra</x:v>
      </x:c>
      <x:c r="D76" s="20">
        <x:v>0.3</x:v>
      </x:c>
      <x:c r="E76" s="21">
        <x:f t="shared" si="11"/>
        <x:v>0</x:v>
      </x:c>
      <x:c r="F76" s="21">
        <x:f t="shared" si="9"/>
        <x:v>0</x:v>
      </x:c>
      <x:c r="G76" s="15"/>
      <x:c r="H76" s="21">
        <x:f t="shared" si="10"/>
        <x:v>0</x:v>
      </x:c>
      <x:c r="I76" s="14" t="str">
        <x:v>Munkaerő</x:v>
      </x:c>
      <x:c r="J76" s="14"/>
    </x:row>
    <x:row r="77">
      <x:c r="A77" s="13"/>
      <x:c r="B77" s="14" t="s">
        <x:v>140</x:v>
      </x:c>
      <x:c r="C77" s="12" t="str">
        <x:v>óra</x:v>
      </x:c>
      <x:c r="D77" s="20">
        <x:v>0.15</x:v>
      </x:c>
      <x:c r="E77" s="21">
        <x:f t="shared" si="11"/>
        <x:v>0</x:v>
      </x:c>
      <x:c r="F77" s="21">
        <x:f t="shared" si="9"/>
        <x:v>0</x:v>
      </x:c>
      <x:c r="G77" s="15"/>
      <x:c r="H77" s="21">
        <x:f t="shared" si="10"/>
        <x:v>0</x:v>
      </x:c>
      <x:c r="I77" s="14" t="str">
        <x:v>Gép</x:v>
      </x:c>
      <x:c r="J77" s="14"/>
    </x:row>
    <x:row r="78">
      <x:c r="A78" s="22"/>
      <x:c r="B78" s="23" t="s">
        <x:v>141</x:v>
      </x:c>
      <x:c r="C78" s="22"/>
      <x:c r="D78" s="22"/>
      <x:c r="E78" s="22"/>
      <x:c r="F78" s="22"/>
      <x:c r="G78" s="22"/>
      <x:c r="H78" s="24" t="n">
        <x:f>SUM(H66:H77)</x:f>
        <x:v>0</x:v>
      </x:c>
      <x:c r="I78" s="22"/>
      <x:c r="J78" s="22"/>
    </x:row>
    <x:row r="80">
      <x:c r="J80" s="17" t="s">
        <x:v>142</x:v>
      </x:c>
    </x:row>
    <x:row r="81">
      <x:c r="A81" s="18" t="s">
        <x:v>113</x:v>
      </x:c>
      <x:c r="B81" s="19" t="str">
        <x:v>flexibilis légcsatorna - szigetelt</x:v>
      </x:c>
      <x:c r="C81" s="12" t="str">
        <x:v>fm</x:v>
      </x:c>
      <x:c r="D81" s="20">
        <x:v>1</x:v>
      </x:c>
      <x:c r="E81" s="16" t="n">
        <x:f>'HVAC QTO'!M47</x:f>
        <x:v>0</x:v>
      </x:c>
      <x:c r="F81" s="21" t="n">
        <x:f t="shared" ref="F81:F86" si="12">D81*E81</x:f>
        <x:v>0</x:v>
      </x:c>
      <x:c r="G81" s="15"/>
      <x:c r="H81" s="21" t="n">
        <x:f t="shared" ref="H81:H86" si="13">F81*G81</x:f>
        <x:v>0</x:v>
      </x:c>
      <x:c r="I81" s="14" t="str">
        <x:v>Gépészet</x:v>
      </x:c>
      <x:c r="J81" s="14" t="str">
        <x:v>csak anyagellátás</x:v>
      </x:c>
    </x:row>
    <x:row r="82">
      <x:c r="A82" s="13"/>
      <x:c r="B82" s="14" t="s">
        <x:v>143</x:v>
      </x:c>
      <x:c r="C82" s="12" t="str">
        <x:v>db</x:v>
      </x:c>
      <x:c r="D82" s="20">
        <x:v>2</x:v>
      </x:c>
      <x:c r="E82" s="21" t="n">
        <x:f>E$81</x:f>
        <x:v>0</x:v>
      </x:c>
      <x:c r="F82" s="21">
        <x:f t="shared" si="12"/>
        <x:v>0</x:v>
      </x:c>
      <x:c r="G82" s="15"/>
      <x:c r="H82" s="21">
        <x:f t="shared" si="13"/>
        <x:v>0</x:v>
      </x:c>
      <x:c r="I82" s="14" t="str">
        <x:v>Gépészet</x:v>
      </x:c>
      <x:c r="J82" s="14" t="s">
        <x:v>144</x:v>
      </x:c>
    </x:row>
    <x:row r="83">
      <x:c r="A83" s="13"/>
      <x:c r="B83" s="14" t="str">
        <x:v>szalag / tömítés gallér</x:v>
      </x:c>
      <x:c r="C83" s="12" t="str">
        <x:v>db</x:v>
      </x:c>
      <x:c r="D83" s="20">
        <x:v>2</x:v>
      </x:c>
      <x:c r="E83" s="21" t="n">
        <x:f>E$81</x:f>
        <x:v>0</x:v>
      </x:c>
      <x:c r="F83" s="21">
        <x:f t="shared" si="12"/>
        <x:v>0</x:v>
      </x:c>
      <x:c r="G83" s="15"/>
      <x:c r="H83" s="21">
        <x:f t="shared" si="13"/>
        <x:v>0</x:v>
      </x:c>
      <x:c r="I83" s="14" t="str">
        <x:v>Gépészet</x:v>
      </x:c>
      <x:c r="J83" s="14"/>
    </x:row>
    <x:row r="84">
      <x:c r="A84" s="13"/>
      <x:c r="B84" s="14" t="str">
        <x:v>kábel tie / strap alátámasztás / tartószerkezet</x:v>
      </x:c>
      <x:c r="C84" s="12" t="str">
        <x:v>db</x:v>
      </x:c>
      <x:c r="D84" s="20">
        <x:v>1</x:v>
      </x:c>
      <x:c r="E84" s="21" t="n">
        <x:f>E$81</x:f>
        <x:v>0</x:v>
      </x:c>
      <x:c r="F84" s="21">
        <x:f t="shared" si="12"/>
        <x:v>0</x:v>
      </x:c>
      <x:c r="G84" s="15"/>
      <x:c r="H84" s="21">
        <x:f t="shared" si="13"/>
        <x:v>0</x:v>
      </x:c>
      <x:c r="I84" s="14" t="str">
        <x:v>Gépészet</x:v>
      </x:c>
      <x:c r="J84" s="14" t="str">
        <x:v>mezőközép if &gt;1m</x:v>
      </x:c>
    </x:row>
    <x:row r="85">
      <x:c r="A85" s="13"/>
      <x:c r="B85" s="14" t="str">
        <x:v>Labour - sheetmetal szerelés</x:v>
      </x:c>
      <x:c r="C85" s="12" t="str">
        <x:v>óra</x:v>
      </x:c>
      <x:c r="D85" s="20">
        <x:v>0.1</x:v>
      </x:c>
      <x:c r="E85" s="21" t="n">
        <x:f>E$81</x:f>
        <x:v>0</x:v>
      </x:c>
      <x:c r="F85" s="21">
        <x:f t="shared" si="12"/>
        <x:v>0</x:v>
      </x:c>
      <x:c r="G85" s="15"/>
      <x:c r="H85" s="21">
        <x:f t="shared" si="13"/>
        <x:v>0</x:v>
      </x:c>
      <x:c r="I85" s="14" t="str">
        <x:v>Munkaerő</x:v>
      </x:c>
      <x:c r="J85" s="14" t="str">
        <x:v>Cut, csatlakoztatás, alátámasztás / tartószerkezet</x:v>
      </x:c>
    </x:row>
    <x:row r="86">
      <x:c r="A86" s="13"/>
      <x:c r="B86" s="14" t="s">
        <x:v>140</x:v>
      </x:c>
      <x:c r="C86" s="12" t="str">
        <x:v>óra</x:v>
      </x:c>
      <x:c r="D86" s="20">
        <x:v>0.05</x:v>
      </x:c>
      <x:c r="E86" s="21" t="n">
        <x:f>E$81</x:f>
        <x:v>0</x:v>
      </x:c>
      <x:c r="F86" s="21">
        <x:f t="shared" si="12"/>
        <x:v>0</x:v>
      </x:c>
      <x:c r="G86" s="15"/>
      <x:c r="H86" s="21">
        <x:f t="shared" si="13"/>
        <x:v>0</x:v>
      </x:c>
      <x:c r="I86" s="14" t="str">
        <x:v>Gép</x:v>
      </x:c>
      <x:c r="J86" s="14"/>
    </x:row>
    <x:row r="87">
      <x:c r="A87" s="22"/>
      <x:c r="B87" s="23" t="s">
        <x:v>145</x:v>
      </x:c>
      <x:c r="C87" s="22"/>
      <x:c r="D87" s="22"/>
      <x:c r="E87" s="22"/>
      <x:c r="F87" s="22"/>
      <x:c r="G87" s="22"/>
      <x:c r="H87" s="24" t="n">
        <x:f>SUM(H81:H86)</x:f>
        <x:v>0</x:v>
      </x:c>
      <x:c r="I87" s="22"/>
      <x:c r="J87" s="22"/>
    </x:row>
    <x:row r="89">
      <x:c r="J89" s="17" t="s">
        <x:v>146</x:v>
      </x:c>
    </x:row>
    <x:row r="90">
      <x:c r="A90" s="18" t="s">
        <x:v>113</x:v>
      </x:c>
      <x:c r="B90" s="19" t="str">
        <x:v>tűzcsappantyú (FD) - négyszög keresztmetszetű</x:v>
      </x:c>
      <x:c r="C90" s="12" t="str">
        <x:v>db</x:v>
      </x:c>
      <x:c r="D90" s="20">
        <x:v>1</x:v>
      </x:c>
      <x:c r="E90" s="16" t="n">
        <x:f>'HVAC QTO'!M53</x:f>
        <x:v>0</x:v>
      </x:c>
      <x:c r="F90" s="21" t="n">
        <x:f t="shared" ref="F90:F99" si="14">D90*E90</x:f>
        <x:v>0</x:v>
      </x:c>
      <x:c r="G90" s="15"/>
      <x:c r="H90" s="21" t="n">
        <x:f t="shared" ref="H90:H99" si="15">F90*G90</x:f>
        <x:v>0</x:v>
      </x:c>
      <x:c r="I90" s="14" t="str">
        <x:v>Gépészet</x:v>
      </x:c>
      <x:c r="J90" s="14" t="str">
        <x:v>csak anyagellátás</x:v>
      </x:c>
    </x:row>
    <x:row r="91">
      <x:c r="A91" s="13"/>
      <x:c r="B91" s="14" t="str">
        <x:v>Retaining angle / breakaway csatlakozás</x:v>
      </x:c>
      <x:c r="C91" s="12" t="str">
        <x:v>klt.</x:v>
      </x:c>
      <x:c r="D91" s="20">
        <x:v>1</x:v>
      </x:c>
      <x:c r="E91" s="21" t="n">
        <x:f t="shared" ref="E91:E99" si="16">E$90</x:f>
        <x:v>0</x:v>
      </x:c>
      <x:c r="F91" s="21">
        <x:f t="shared" si="14"/>
        <x:v>0</x:v>
      </x:c>
      <x:c r="G91" s="15"/>
      <x:c r="H91" s="21">
        <x:f t="shared" si="15"/>
        <x:v>0</x:v>
      </x:c>
      <x:c r="I91" s="14" t="str">
        <x:v>Gépészet</x:v>
      </x:c>
      <x:c r="J91" s="14" t="str">
        <x:v> AS 1668</x:v>
      </x:c>
    </x:row>
    <x:row r="92">
      <x:c r="A92" s="13"/>
      <x:c r="B92" s="14" t="str">
        <x:v>Fire-rated tömítőanyag</x:v>
      </x:c>
      <x:c r="C92" s="12" t="str">
        <x:v>tubus</x:v>
      </x:c>
      <x:c r="D92" s="20">
        <x:v>1</x:v>
      </x:c>
      <x:c r="E92" s="21">
        <x:f t="shared" si="16"/>
        <x:v>0</x:v>
      </x:c>
      <x:c r="F92" s="21">
        <x:f t="shared" si="14"/>
        <x:v>0</x:v>
      </x:c>
      <x:c r="G92" s="15"/>
      <x:c r="H92" s="21">
        <x:f t="shared" si="15"/>
        <x:v>0</x:v>
      </x:c>
      <x:c r="I92" s="14" t="str">
        <x:v>Gépészet</x:v>
      </x:c>
      <x:c r="J92" s="14" t="s">
        <x:v>147</x:v>
      </x:c>
    </x:row>
    <x:row r="93">
      <x:c r="A93" s="13"/>
      <x:c r="B93" s="14" t="str">
        <x:v>mennyezet szerelőnyílás - fire-rated</x:v>
      </x:c>
      <x:c r="C93" s="12" t="str">
        <x:v>db</x:v>
      </x:c>
      <x:c r="D93" s="20">
        <x:v>1</x:v>
      </x:c>
      <x:c r="E93" s="21">
        <x:f t="shared" si="16"/>
        <x:v>0</x:v>
      </x:c>
      <x:c r="F93" s="21">
        <x:f t="shared" si="14"/>
        <x:v>0</x:v>
      </x:c>
      <x:c r="G93" s="15"/>
      <x:c r="H93" s="21">
        <x:f t="shared" si="15"/>
        <x:v>0</x:v>
      </x:c>
      <x:c r="I93" s="14" t="str">
        <x:v>Gépészet</x:v>
      </x:c>
      <x:c r="J93" s="14" t="s">
        <x:v>148</x:v>
      </x:c>
    </x:row>
    <x:row r="94">
      <x:c r="A94" s="13"/>
      <x:c r="B94" s="14" t="s">
        <x:v>149</x:v>
      </x:c>
      <x:c r="C94" s="12" t="str">
        <x:v>db</x:v>
      </x:c>
      <x:c r="D94" s="20">
        <x:v>1</x:v>
      </x:c>
      <x:c r="E94" s="21">
        <x:f t="shared" si="16"/>
        <x:v>0</x:v>
      </x:c>
      <x:c r="F94" s="21">
        <x:f t="shared" si="14"/>
        <x:v>0</x:v>
      </x:c>
      <x:c r="G94" s="15"/>
      <x:c r="H94" s="21">
        <x:f t="shared" si="15"/>
        <x:v>0</x:v>
      </x:c>
      <x:c r="I94" s="14" t="str">
        <x:v>Gépészet</x:v>
      </x:c>
      <x:c r="J94" s="14" t="s">
        <x:v>150</x:v>
      </x:c>
    </x:row>
    <x:row r="95">
      <x:c r="A95" s="13"/>
      <x:c r="B95" s="14" t="str">
        <x:v>Labour - sheetmetal szerelés</x:v>
      </x:c>
      <x:c r="C95" s="12" t="str">
        <x:v>óra</x:v>
      </x:c>
      <x:c r="D95" s="20">
        <x:v>1.5</x:v>
      </x:c>
      <x:c r="E95" s="21">
        <x:f t="shared" si="16"/>
        <x:v>0</x:v>
      </x:c>
      <x:c r="F95" s="21">
        <x:f t="shared" si="14"/>
        <x:v>0</x:v>
      </x:c>
      <x:c r="G95" s="15"/>
      <x:c r="H95" s="21">
        <x:f t="shared" si="15"/>
        <x:v>0</x:v>
      </x:c>
      <x:c r="I95" s="14" t="str">
        <x:v>Munkaerő</x:v>
      </x:c>
      <x:c r="J95" s="14" t="str">
        <x:v>Cut légcsatorna, szerelés, rögzítés</x:v>
      </x:c>
    </x:row>
    <x:row r="96">
      <x:c r="A96" s="13"/>
      <x:c r="B96" s="14" t="s">
        <x:v>151</x:v>
      </x:c>
      <x:c r="C96" s="12" t="str">
        <x:v>óra</x:v>
      </x:c>
      <x:c r="D96" s="20">
        <x:v>0.5</x:v>
      </x:c>
      <x:c r="E96" s="21">
        <x:f t="shared" si="16"/>
        <x:v>0</x:v>
      </x:c>
      <x:c r="F96" s="21">
        <x:f t="shared" si="14"/>
        <x:v>0</x:v>
      </x:c>
      <x:c r="G96" s="15"/>
      <x:c r="H96" s="21">
        <x:f t="shared" si="15"/>
        <x:v>0</x:v>
      </x:c>
      <x:c r="I96" s="14" t="str">
        <x:v>Munkaerő</x:v>
      </x:c>
      <x:c r="J96" s="14" t="str">
        <x:v>illeszkedjen wall/padló tűzállósági osztály</x:v>
      </x:c>
    </x:row>
    <x:row r="97">
      <x:c r="A97" s="13"/>
      <x:c r="B97" s="14" t="str">
        <x:v>Labour - builder (szerelőnyílás)</x:v>
      </x:c>
      <x:c r="C97" s="12" t="str">
        <x:v>óra</x:v>
      </x:c>
      <x:c r="D97" s="20">
        <x:v>0.5</x:v>
      </x:c>
      <x:c r="E97" s="21">
        <x:f t="shared" si="16"/>
        <x:v>0</x:v>
      </x:c>
      <x:c r="F97" s="21">
        <x:f t="shared" si="14"/>
        <x:v>0</x:v>
      </x:c>
      <x:c r="G97" s="15"/>
      <x:c r="H97" s="21">
        <x:f t="shared" si="15"/>
        <x:v>0</x:v>
      </x:c>
      <x:c r="I97" s="14" t="str">
        <x:v>Munkaerő</x:v>
      </x:c>
      <x:c r="J97" s="14" t="str">
        <x:v>Coordinated mennyezet</x:v>
      </x:c>
    </x:row>
    <x:row r="98">
      <x:c r="A98" s="13"/>
      <x:c r="B98" s="14" t="s">
        <x:v>152</x:v>
      </x:c>
      <x:c r="C98" s="12" t="str">
        <x:v>óra</x:v>
      </x:c>
      <x:c r="D98" s="20">
        <x:v>0.25</x:v>
      </x:c>
      <x:c r="E98" s="21">
        <x:f t="shared" si="16"/>
        <x:v>0</x:v>
      </x:c>
      <x:c r="F98" s="21">
        <x:f t="shared" si="14"/>
        <x:v>0</x:v>
      </x:c>
      <x:c r="G98" s="15"/>
      <x:c r="H98" s="21">
        <x:f t="shared" si="15"/>
        <x:v>0</x:v>
      </x:c>
      <x:c r="I98" s="14" t="str">
        <x:v>Munkaerő</x:v>
      </x:c>
      <x:c r="J98" s="14" t="str">
        <x:v>szükséges at PC</x:v>
      </x:c>
    </x:row>
    <x:row r="99">
      <x:c r="A99" s="13"/>
      <x:c r="B99" s="14" t="s">
        <x:v>140</x:v>
      </x:c>
      <x:c r="C99" s="12" t="str">
        <x:v>óra</x:v>
      </x:c>
      <x:c r="D99" s="20">
        <x:v>0.4</x:v>
      </x:c>
      <x:c r="E99" s="21">
        <x:f t="shared" si="16"/>
        <x:v>0</x:v>
      </x:c>
      <x:c r="F99" s="21">
        <x:f t="shared" si="14"/>
        <x:v>0</x:v>
      </x:c>
      <x:c r="G99" s="15"/>
      <x:c r="H99" s="21">
        <x:f t="shared" si="15"/>
        <x:v>0</x:v>
      </x:c>
      <x:c r="I99" s="14" t="str">
        <x:v>Gép</x:v>
      </x:c>
      <x:c r="J99" s="14"/>
    </x:row>
    <x:row r="100">
      <x:c r="A100" s="22"/>
      <x:c r="B100" s="23" t="s">
        <x:v>153</x:v>
      </x:c>
      <x:c r="C100" s="22"/>
      <x:c r="D100" s="22"/>
      <x:c r="E100" s="22"/>
      <x:c r="F100" s="22"/>
      <x:c r="G100" s="22"/>
      <x:c r="H100" s="24" t="n">
        <x:f>SUM(H90:H99)</x:f>
        <x:v>0</x:v>
      </x:c>
      <x:c r="I100" s="22"/>
      <x:c r="J100" s="22"/>
    </x:row>
    <x:row r="102">
      <x:c r="J102" s="17" t="s">
        <x:v>154</x:v>
      </x:c>
    </x:row>
    <x:row r="103">
      <x:c r="A103" s="18" t="s">
        <x:v>113</x:v>
      </x:c>
      <x:c r="B103" s="19" t="str">
        <x:v>négyzetes mennyezet anemosztát - négyirányú</x:v>
      </x:c>
      <x:c r="C103" s="12" t="str">
        <x:v>db</x:v>
      </x:c>
      <x:c r="D103" s="20">
        <x:v>1</x:v>
      </x:c>
      <x:c r="E103" s="16" t="n">
        <x:f>'HVAC QTO'!M63</x:f>
        <x:v>0</x:v>
      </x:c>
      <x:c r="F103" s="21" t="n">
        <x:f t="shared" ref="F103:F111" si="17">D103*E103</x:f>
        <x:v>0</x:v>
      </x:c>
      <x:c r="G103" s="15"/>
      <x:c r="H103" s="21" t="n">
        <x:f t="shared" ref="H103:H111" si="18">F103*G103</x:f>
        <x:v>0</x:v>
      </x:c>
      <x:c r="I103" s="14" t="str">
        <x:v>Gépészet</x:v>
      </x:c>
      <x:c r="J103" s="14" t="str">
        <x:v>csak anyagellátás</x:v>
      </x:c>
    </x:row>
    <x:row r="104">
      <x:c r="A104" s="13"/>
      <x:c r="B104" s="14" t="str">
        <x:v>nyomáskiegyenlítő doboz (szigetelt, csappantyú)</x:v>
      </x:c>
      <x:c r="C104" s="12" t="str">
        <x:v>db</x:v>
      </x:c>
      <x:c r="D104" s="20">
        <x:v>1</x:v>
      </x:c>
      <x:c r="E104" s="21" t="n">
        <x:f t="shared" ref="E104:E111" si="19">E$103</x:f>
        <x:v>0</x:v>
      </x:c>
      <x:c r="F104" s="21">
        <x:f t="shared" si="17"/>
        <x:v>0</x:v>
      </x:c>
      <x:c r="G104" s="15"/>
      <x:c r="H104" s="21">
        <x:f t="shared" si="18"/>
        <x:v>0</x:v>
      </x:c>
      <x:c r="I104" s="14" t="str">
        <x:v>Gépészet</x:v>
      </x:c>
      <x:c r="J104" s="14" t="str">
        <x:v>Above-mennyezet csatlakozás</x:v>
      </x:c>
    </x:row>
    <x:row r="105">
      <x:c r="A105" s="13"/>
      <x:c r="B105" s="14" t="str">
        <x:v>légmennyiség-szabályozó csappantyú at branch</x:v>
      </x:c>
      <x:c r="C105" s="12" t="str">
        <x:v>db</x:v>
      </x:c>
      <x:c r="D105" s="20">
        <x:v>1</x:v>
      </x:c>
      <x:c r="E105" s="21">
        <x:f t="shared" si="19"/>
        <x:v>0</x:v>
      </x:c>
      <x:c r="F105" s="21">
        <x:f t="shared" si="17"/>
        <x:v>0</x:v>
      </x:c>
      <x:c r="G105" s="15"/>
      <x:c r="H105" s="21">
        <x:f t="shared" si="18"/>
        <x:v>0</x:v>
      </x:c>
      <x:c r="I105" s="14" t="str">
        <x:v>Gépészet</x:v>
      </x:c>
      <x:c r="J105" s="14" t="str">
        <x:v>For légmennyiség-beszabályozás</x:v>
      </x:c>
    </x:row>
    <x:row r="106">
      <x:c r="A106" s="13"/>
      <x:c r="B106" s="14" t="str">
        <x:v>flexibilis légcsatorna (250mm átmérő, 1.5m)</x:v>
      </x:c>
      <x:c r="C106" s="12" t="str">
        <x:v>fm</x:v>
      </x:c>
      <x:c r="D106" s="20">
        <x:v>1.5</x:v>
      </x:c>
      <x:c r="E106" s="21">
        <x:f t="shared" si="19"/>
        <x:v>0</x:v>
      </x:c>
      <x:c r="F106" s="21">
        <x:f t="shared" si="17"/>
        <x:v>0</x:v>
      </x:c>
      <x:c r="G106" s="15"/>
      <x:c r="H106" s="21">
        <x:f t="shared" si="18"/>
        <x:v>0</x:v>
      </x:c>
      <x:c r="I106" s="14" t="str">
        <x:v>Gépészet</x:v>
      </x:c>
      <x:c r="J106" s="14" t="s">
        <x:v>155</x:v>
      </x:c>
    </x:row>
    <x:row r="107">
      <x:c r="A107" s="13"/>
      <x:c r="B107" s="14" t="s">
        <x:v>143</x:v>
      </x:c>
      <x:c r="C107" s="12" t="str">
        <x:v>db</x:v>
      </x:c>
      <x:c r="D107" s="20">
        <x:v>2</x:v>
      </x:c>
      <x:c r="E107" s="21">
        <x:f t="shared" si="19"/>
        <x:v>0</x:v>
      </x:c>
      <x:c r="F107" s="21">
        <x:f t="shared" si="17"/>
        <x:v>0</x:v>
      </x:c>
      <x:c r="G107" s="15"/>
      <x:c r="H107" s="21">
        <x:f t="shared" si="18"/>
        <x:v>0</x:v>
      </x:c>
      <x:c r="I107" s="14" t="str">
        <x:v>Gépészet</x:v>
      </x:c>
      <x:c r="J107" s="14"/>
    </x:row>
    <x:row r="108">
      <x:c r="A108" s="13"/>
      <x:c r="B108" s="14" t="str">
        <x:v>tömítés szalag / gallér</x:v>
      </x:c>
      <x:c r="C108" s="12" t="str">
        <x:v>db</x:v>
      </x:c>
      <x:c r="D108" s="20">
        <x:v>1</x:v>
      </x:c>
      <x:c r="E108" s="21">
        <x:f t="shared" si="19"/>
        <x:v>0</x:v>
      </x:c>
      <x:c r="F108" s="21">
        <x:f t="shared" si="17"/>
        <x:v>0</x:v>
      </x:c>
      <x:c r="G108" s="15"/>
      <x:c r="H108" s="21">
        <x:f t="shared" si="18"/>
        <x:v>0</x:v>
      </x:c>
      <x:c r="I108" s="14" t="str">
        <x:v>Gépészet</x:v>
      </x:c>
      <x:c r="J108" s="14"/>
    </x:row>
    <x:row r="109">
      <x:c r="A109" s="13"/>
      <x:c r="B109" s="14" t="str">
        <x:v>Labour - sheetmetal szerelés</x:v>
      </x:c>
      <x:c r="C109" s="12" t="str">
        <x:v>óra</x:v>
      </x:c>
      <x:c r="D109" s="20">
        <x:v>0.6</x:v>
      </x:c>
      <x:c r="E109" s="21">
        <x:f t="shared" si="19"/>
        <x:v>0</x:v>
      </x:c>
      <x:c r="F109" s="21">
        <x:f t="shared" si="17"/>
        <x:v>0</x:v>
      </x:c>
      <x:c r="G109" s="15"/>
      <x:c r="H109" s="21">
        <x:f t="shared" si="18"/>
        <x:v>0</x:v>
      </x:c>
      <x:c r="I109" s="14" t="str">
        <x:v>Munkaerő</x:v>
      </x:c>
      <x:c r="J109" s="14" t="str">
        <x:v>2nd fix after mennyezet</x:v>
      </x:c>
    </x:row>
    <x:row r="110">
      <x:c r="A110" s="13"/>
      <x:c r="B110" s="14" t="str">
        <x:v>Labour - légmennyiség-beszabályozás commissioning</x:v>
      </x:c>
      <x:c r="C110" s="12" t="str">
        <x:v>óra</x:v>
      </x:c>
      <x:c r="D110" s="20">
        <x:v>0.15</x:v>
      </x:c>
      <x:c r="E110" s="21">
        <x:f t="shared" si="19"/>
        <x:v>0</x:v>
      </x:c>
      <x:c r="F110" s="21">
        <x:f t="shared" si="17"/>
        <x:v>0</x:v>
      </x:c>
      <x:c r="G110" s="15"/>
      <x:c r="H110" s="21">
        <x:f t="shared" si="18"/>
        <x:v>0</x:v>
      </x:c>
      <x:c r="I110" s="14" t="str">
        <x:v>Munkaerő</x:v>
      </x:c>
      <x:c r="J110" s="14" t="str">
        <x:v>arányosítva commissioning</x:v>
      </x:c>
    </x:row>
    <x:row r="111">
      <x:c r="A111" s="13"/>
      <x:c r="B111" s="14" t="s">
        <x:v>140</x:v>
      </x:c>
      <x:c r="C111" s="12" t="str">
        <x:v>óra</x:v>
      </x:c>
      <x:c r="D111" s="20">
        <x:v>0.25</x:v>
      </x:c>
      <x:c r="E111" s="21">
        <x:f t="shared" si="19"/>
        <x:v>0</x:v>
      </x:c>
      <x:c r="F111" s="21">
        <x:f t="shared" si="17"/>
        <x:v>0</x:v>
      </x:c>
      <x:c r="G111" s="15"/>
      <x:c r="H111" s="21">
        <x:f t="shared" si="18"/>
        <x:v>0</x:v>
      </x:c>
      <x:c r="I111" s="14" t="str">
        <x:v>Gép</x:v>
      </x:c>
      <x:c r="J111" s="14"/>
    </x:row>
    <x:row r="112">
      <x:c r="A112" s="22"/>
      <x:c r="B112" s="23" t="s">
        <x:v>156</x:v>
      </x:c>
      <x:c r="C112" s="22"/>
      <x:c r="D112" s="22"/>
      <x:c r="E112" s="22"/>
      <x:c r="F112" s="22"/>
      <x:c r="G112" s="22"/>
      <x:c r="H112" s="24" t="n">
        <x:f>SUM(H103:H111)</x:f>
        <x:v>0</x:v>
      </x:c>
      <x:c r="I112" s="22"/>
      <x:c r="J112" s="22"/>
    </x:row>
    <x:row r="114">
      <x:c r="J114" s="17" t="s">
        <x:v>157</x:v>
      </x:c>
    </x:row>
    <x:row r="115">
      <x:c r="A115" s="18" t="s">
        <x:v>113</x:v>
      </x:c>
      <x:c r="B115" s="19" t="str">
        <x:v>hűtött víz cső - réz</x:v>
      </x:c>
      <x:c r="C115" s="12" t="str">
        <x:v>fm</x:v>
      </x:c>
      <x:c r="D115" s="20">
        <x:v>1</x:v>
      </x:c>
      <x:c r="E115" s="16" t="n">
        <x:f>'HVAC QTO'!M75</x:f>
        <x:v>0</x:v>
      </x:c>
      <x:c r="F115" s="21" t="n">
        <x:f t="shared" ref="F115:F129" si="20">D115*E115</x:f>
        <x:v>0</x:v>
      </x:c>
      <x:c r="G115" s="15"/>
      <x:c r="H115" s="21" t="n">
        <x:f t="shared" ref="H115:H129" si="21">F115*G115</x:f>
        <x:v>0</x:v>
      </x:c>
      <x:c r="I115" s="14" t="str">
        <x:v>Gépészet</x:v>
      </x:c>
      <x:c r="J115" s="14" t="str">
        <x:v>csak anyagellátás</x:v>
      </x:c>
    </x:row>
    <x:row r="116">
      <x:c r="A116" s="13"/>
      <x:c r="B116" s="14" t="str">
        <x:v>cső idomok (könyök idomok/T-idomok/szűkítők)</x:v>
      </x:c>
      <x:c r="C116" s="12" t="str">
        <x:v>db</x:v>
      </x:c>
      <x:c r="D116" s="20">
        <x:v>0.4</x:v>
      </x:c>
      <x:c r="E116" s="21" t="n">
        <x:f t="shared" ref="E116:E129" si="22">E$115</x:f>
        <x:v>0</x:v>
      </x:c>
      <x:c r="F116" s="21">
        <x:f t="shared" si="20"/>
        <x:v>0</x:v>
      </x:c>
      <x:c r="G116" s="15"/>
      <x:c r="H116" s="21">
        <x:f t="shared" si="21"/>
        <x:v>0</x:v>
      </x:c>
      <x:c r="I116" s="14" t="str">
        <x:v>Gépészet</x:v>
      </x:c>
      <x:c r="J116" s="14" t="s">
        <x:v>158</x:v>
      </x:c>
    </x:row>
    <x:row r="117">
      <x:c r="A117" s="13"/>
      <x:c r="B117" s="14" t="str">
        <x:v>függesztő - clevis &amp; menetes szár</x:v>
      </x:c>
      <x:c r="C117" s="12" t="str">
        <x:v>klt.</x:v>
      </x:c>
      <x:c r="D117" s="20">
        <x:v>0.5</x:v>
      </x:c>
      <x:c r="E117" s="21">
        <x:f t="shared" si="22"/>
        <x:v>0</x:v>
      </x:c>
      <x:c r="F117" s="21">
        <x:f t="shared" si="20"/>
        <x:v>0</x:v>
      </x:c>
      <x:c r="G117" s="15"/>
      <x:c r="H117" s="21">
        <x:f t="shared" si="21"/>
        <x:v>0</x:v>
      </x:c>
      <x:c r="I117" s="14" t="str">
        <x:v>Gépészet</x:v>
      </x:c>
      <x:c r="J117" s="14" t="s">
        <x:v>136</x:v>
      </x:c>
    </x:row>
    <x:row r="118">
      <x:c r="A118" s="13"/>
      <x:c r="B118" s="14" t="s">
        <x:v>131</x:v>
      </x:c>
      <x:c r="C118" s="12" t="str">
        <x:v>db</x:v>
      </x:c>
      <x:c r="D118" s="20">
        <x:v>1</x:v>
      </x:c>
      <x:c r="E118" s="21">
        <x:f t="shared" si="22"/>
        <x:v>0</x:v>
      </x:c>
      <x:c r="F118" s="21">
        <x:f t="shared" si="20"/>
        <x:v>0</x:v>
      </x:c>
      <x:c r="G118" s="15"/>
      <x:c r="H118" s="21">
        <x:f t="shared" si="21"/>
        <x:v>0</x:v>
      </x:c>
      <x:c r="I118" s="14" t="str">
        <x:v>Gépészet</x:v>
      </x:c>
      <x:c r="J118" s="14" t="str">
        <x:v>2 per függesztő</x:v>
      </x:c>
    </x:row>
    <x:row r="119">
      <x:c r="A119" s="13"/>
      <x:c r="B119" s="14" t="s">
        <x:v>159</x:v>
      </x:c>
      <x:c r="C119" s="12" t="str">
        <x:v>fm</x:v>
      </x:c>
      <x:c r="D119" s="20">
        <x:v>1</x:v>
      </x:c>
      <x:c r="E119" s="21">
        <x:f t="shared" si="22"/>
        <x:v>0</x:v>
      </x:c>
      <x:c r="F119" s="21">
        <x:f t="shared" si="20"/>
        <x:v>0</x:v>
      </x:c>
      <x:c r="G119" s="15"/>
      <x:c r="H119" s="21">
        <x:f t="shared" si="21"/>
        <x:v>0</x:v>
      </x:c>
      <x:c r="I119" s="14" t="str">
        <x:v>Gépészet</x:v>
      </x:c>
      <x:c r="J119" s="14" t="str">
        <x:v>folyóméterenként of cső</x:v>
      </x:c>
    </x:row>
    <x:row r="120">
      <x:c r="A120" s="13"/>
      <x:c r="B120" s="14" t="str">
        <x:v>cső szigetelés (Armaflex 25mm)</x:v>
      </x:c>
      <x:c r="C120" s="12" t="str">
        <x:v>fm</x:v>
      </x:c>
      <x:c r="D120" s="20">
        <x:v>1</x:v>
      </x:c>
      <x:c r="E120" s="21">
        <x:f t="shared" si="22"/>
        <x:v>0</x:v>
      </x:c>
      <x:c r="F120" s="21">
        <x:f t="shared" si="20"/>
        <x:v>0</x:v>
      </x:c>
      <x:c r="G120" s="15"/>
      <x:c r="H120" s="21">
        <x:f t="shared" si="21"/>
        <x:v>0</x:v>
      </x:c>
      <x:c r="I120" s="14" t="str">
        <x:v>Gépészet</x:v>
      </x:c>
      <x:c r="J120" s="14" t="s">
        <x:v>160</x:v>
      </x:c>
    </x:row>
    <x:row r="121">
      <x:c r="A121" s="13"/>
      <x:c r="B121" s="14" t="str">
        <x:v>cső identification marker</x:v>
      </x:c>
      <x:c r="C121" s="12" t="str">
        <x:v>db</x:v>
      </x:c>
      <x:c r="D121" s="20">
        <x:v>0.2</x:v>
      </x:c>
      <x:c r="E121" s="21">
        <x:f t="shared" si="22"/>
        <x:v>0</x:v>
      </x:c>
      <x:c r="F121" s="21">
        <x:f t="shared" si="20"/>
        <x:v>0</x:v>
      </x:c>
      <x:c r="G121" s="15"/>
      <x:c r="H121" s="21">
        <x:f t="shared" si="21"/>
        <x:v>0</x:v>
      </x:c>
      <x:c r="I121" s="14" t="str">
        <x:v>Gépészet</x:v>
      </x:c>
      <x:c r="J121" s="14" t="s">
        <x:v>161</x:v>
      </x:c>
    </x:row>
    <x:row r="122">
      <x:c r="A122" s="13"/>
      <x:c r="B122" s="14" t="str">
        <x:v>Sundries (rögzítőelemek, tömítőanyag, ID tags)</x:v>
      </x:c>
      <x:c r="C122" s="12" t="str">
        <x:v>fm</x:v>
      </x:c>
      <x:c r="D122" s="20">
        <x:v>1</x:v>
      </x:c>
      <x:c r="E122" s="21">
        <x:f t="shared" si="22"/>
        <x:v>0</x:v>
      </x:c>
      <x:c r="F122" s="21">
        <x:f t="shared" si="20"/>
        <x:v>0</x:v>
      </x:c>
      <x:c r="G122" s="15"/>
      <x:c r="H122" s="21">
        <x:f t="shared" si="21"/>
        <x:v>0</x:v>
      </x:c>
      <x:c r="I122" s="14" t="str">
        <x:v>Gépészet</x:v>
      </x:c>
      <x:c r="J122" s="14"/>
    </x:row>
    <x:row r="123">
      <x:c r="A123" s="13"/>
      <x:c r="B123" s="14" t="str">
        <x:v>Labour - pipefitter szerelés</x:v>
      </x:c>
      <x:c r="C123" s="12" t="str">
        <x:v>óra</x:v>
      </x:c>
      <x:c r="D123" s="20">
        <x:v>0.35</x:v>
      </x:c>
      <x:c r="E123" s="21">
        <x:f t="shared" si="22"/>
        <x:v>0</x:v>
      </x:c>
      <x:c r="F123" s="21">
        <x:f t="shared" si="20"/>
        <x:v>0</x:v>
      </x:c>
      <x:c r="G123" s="15"/>
      <x:c r="H123" s="21">
        <x:f t="shared" si="21"/>
        <x:v>0</x:v>
      </x:c>
      <x:c r="I123" s="14" t="str">
        <x:v>Munkaerő</x:v>
      </x:c>
      <x:c r="J123" s="14" t="str">
        <x:v>Std mennyezet-void run</x:v>
      </x:c>
    </x:row>
    <x:row r="124">
      <x:c r="A124" s="13"/>
      <x:c r="B124" s="14" t="str">
        <x:v>Labour - pipefitter idomok/brazing</x:v>
      </x:c>
      <x:c r="C124" s="12" t="str">
        <x:v>óra</x:v>
      </x:c>
      <x:c r="D124" s="20">
        <x:v>0.15</x:v>
      </x:c>
      <x:c r="E124" s="21">
        <x:f t="shared" si="22"/>
        <x:v>0</x:v>
      </x:c>
      <x:c r="F124" s="21">
        <x:f t="shared" si="20"/>
        <x:v>0</x:v>
      </x:c>
      <x:c r="G124" s="15"/>
      <x:c r="H124" s="21">
        <x:f t="shared" si="21"/>
        <x:v>0</x:v>
      </x:c>
      <x:c r="I124" s="14" t="str">
        <x:v>Munkaerő</x:v>
      </x:c>
      <x:c r="J124" s="14"/>
    </x:row>
    <x:row r="125">
      <x:c r="A125" s="13"/>
      <x:c r="B125" s="14" t="str">
        <x:v>Labour - pipefitter tartószerkezetek</x:v>
      </x:c>
      <x:c r="C125" s="12" t="str">
        <x:v>óra</x:v>
      </x:c>
      <x:c r="D125" s="20">
        <x:v>0.1</x:v>
      </x:c>
      <x:c r="E125" s="21">
        <x:f t="shared" si="22"/>
        <x:v>0</x:v>
      </x:c>
      <x:c r="F125" s="21">
        <x:f t="shared" si="20"/>
        <x:v>0</x:v>
      </x:c>
      <x:c r="G125" s="15"/>
      <x:c r="H125" s="21">
        <x:f t="shared" si="21"/>
        <x:v>0</x:v>
      </x:c>
      <x:c r="I125" s="14" t="str">
        <x:v>Munkaerő</x:v>
      </x:c>
      <x:c r="J125" s="14"/>
    </x:row>
    <x:row r="126">
      <x:c r="A126" s="13"/>
      <x:c r="B126" s="14" t="s">
        <x:v>117</x:v>
      </x:c>
      <x:c r="C126" s="12" t="str">
        <x:v>óra</x:v>
      </x:c>
      <x:c r="D126" s="20">
        <x:v>0.2</x:v>
      </x:c>
      <x:c r="E126" s="21">
        <x:f t="shared" si="22"/>
        <x:v>0</x:v>
      </x:c>
      <x:c r="F126" s="21">
        <x:f t="shared" si="20"/>
        <x:v>0</x:v>
      </x:c>
      <x:c r="G126" s="15"/>
      <x:c r="H126" s="21">
        <x:f t="shared" si="21"/>
        <x:v>0</x:v>
      </x:c>
      <x:c r="I126" s="14" t="str">
        <x:v>Munkaerő</x:v>
      </x:c>
      <x:c r="J126" s="14" t="s">
        <x:v>162</x:v>
      </x:c>
    </x:row>
    <x:row r="127">
      <x:c r="A127" s="13"/>
      <x:c r="B127" s="14" t="s">
        <x:v>163</x:v>
      </x:c>
      <x:c r="C127" s="12" t="str">
        <x:v>óra</x:v>
      </x:c>
      <x:c r="D127" s="20">
        <x:v>0.05</x:v>
      </x:c>
      <x:c r="E127" s="21">
        <x:f t="shared" si="22"/>
        <x:v>0</x:v>
      </x:c>
      <x:c r="F127" s="21">
        <x:f t="shared" si="20"/>
        <x:v>0</x:v>
      </x:c>
      <x:c r="G127" s="15"/>
      <x:c r="H127" s="21">
        <x:f t="shared" si="21"/>
        <x:v>0</x:v>
      </x:c>
      <x:c r="I127" s="14" t="str">
        <x:v>Munkaerő</x:v>
      </x:c>
      <x:c r="J127" s="14" t="str">
        <x:v>arányosítva hydrotest</x:v>
      </x:c>
    </x:row>
    <x:row r="128">
      <x:c r="A128" s="13"/>
      <x:c r="B128" s="14" t="s">
        <x:v>126</x:v>
      </x:c>
      <x:c r="C128" s="12" t="str">
        <x:v>óra</x:v>
      </x:c>
      <x:c r="D128" s="20">
        <x:v>0.2</x:v>
      </x:c>
      <x:c r="E128" s="21">
        <x:f t="shared" si="22"/>
        <x:v>0</x:v>
      </x:c>
      <x:c r="F128" s="21">
        <x:f t="shared" si="20"/>
        <x:v>0</x:v>
      </x:c>
      <x:c r="G128" s="15"/>
      <x:c r="H128" s="21">
        <x:f t="shared" si="21"/>
        <x:v>0</x:v>
      </x:c>
      <x:c r="I128" s="14" t="str">
        <x:v>Gép</x:v>
      </x:c>
      <x:c r="J128" s="14"/>
    </x:row>
    <x:row r="129">
      <x:c r="A129" s="13"/>
      <x:c r="B129" s="14" t="str">
        <x:v>nyomáspróba szivattyú</x:v>
      </x:c>
      <x:c r="C129" s="12" t="str">
        <x:v>óra</x:v>
      </x:c>
      <x:c r="D129" s="20">
        <x:v>0.05</x:v>
      </x:c>
      <x:c r="E129" s="21">
        <x:f t="shared" si="22"/>
        <x:v>0</x:v>
      </x:c>
      <x:c r="F129" s="21">
        <x:f t="shared" si="20"/>
        <x:v>0</x:v>
      </x:c>
      <x:c r="G129" s="15"/>
      <x:c r="H129" s="21">
        <x:f t="shared" si="21"/>
        <x:v>0</x:v>
      </x:c>
      <x:c r="I129" s="14" t="str">
        <x:v>Gép</x:v>
      </x:c>
      <x:c r="J129" s="14" t="str">
        <x:v>arányosítva</x:v>
      </x:c>
    </x:row>
    <x:row r="130">
      <x:c r="A130" s="22"/>
      <x:c r="B130" s="23" t="s">
        <x:v>164</x:v>
      </x:c>
      <x:c r="C130" s="22"/>
      <x:c r="D130" s="22"/>
      <x:c r="E130" s="22"/>
      <x:c r="F130" s="22"/>
      <x:c r="G130" s="22"/>
      <x:c r="H130" s="24" t="n">
        <x:f>SUM(H115:H129)</x:f>
        <x:v>0</x:v>
      </x:c>
      <x:c r="I130" s="22"/>
      <x:c r="J130" s="22"/>
    </x:row>
    <x:row r="132">
      <x:c r="J132" s="17" t="s">
        <x:v>165</x:v>
      </x:c>
    </x:row>
    <x:row r="133">
      <x:c r="A133" s="18" t="s">
        <x:v>113</x:v>
      </x:c>
      <x:c r="B133" s="19" t="str">
        <x:v>melegvíz cső - acél</x:v>
      </x:c>
      <x:c r="C133" s="12" t="str">
        <x:v>fm</x:v>
      </x:c>
      <x:c r="D133" s="20">
        <x:v>1</x:v>
      </x:c>
      <x:c r="E133" s="16" t="n">
        <x:f>'HVAC QTO'!M77</x:f>
        <x:v>0</x:v>
      </x:c>
      <x:c r="F133" s="21" t="n">
        <x:f t="shared" ref="F133:F147" si="23">D133*E133</x:f>
        <x:v>0</x:v>
      </x:c>
      <x:c r="G133" s="15"/>
      <x:c r="H133" s="21" t="n">
        <x:f t="shared" ref="H133:H147" si="24">F133*G133</x:f>
        <x:v>0</x:v>
      </x:c>
      <x:c r="I133" s="14" t="str">
        <x:v>Gépészet</x:v>
      </x:c>
      <x:c r="J133" s="14" t="str">
        <x:v>csak anyagellátás</x:v>
      </x:c>
    </x:row>
    <x:row r="134">
      <x:c r="A134" s="13"/>
      <x:c r="B134" s="14" t="str">
        <x:v>cső idomok (könyök idomok/T-idomok/karimák)</x:v>
      </x:c>
      <x:c r="C134" s="12" t="str">
        <x:v>db</x:v>
      </x:c>
      <x:c r="D134" s="20">
        <x:v>0.4</x:v>
      </x:c>
      <x:c r="E134" s="21" t="n">
        <x:f t="shared" ref="E134:E147" si="25">E$133</x:f>
        <x:v>0</x:v>
      </x:c>
      <x:c r="F134" s="21">
        <x:f t="shared" si="23"/>
        <x:v>0</x:v>
      </x:c>
      <x:c r="G134" s="15"/>
      <x:c r="H134" s="21">
        <x:f t="shared" si="24"/>
        <x:v>0</x:v>
      </x:c>
      <x:c r="I134" s="14" t="str">
        <x:v>Gépészet</x:v>
      </x:c>
      <x:c r="J134" s="14"/>
    </x:row>
    <x:row r="135">
      <x:c r="A135" s="13"/>
      <x:c r="B135" s="14" t="str">
        <x:v>függesztő - clevis &amp; menetes szár</x:v>
      </x:c>
      <x:c r="C135" s="12" t="str">
        <x:v>klt.</x:v>
      </x:c>
      <x:c r="D135" s="20">
        <x:v>0.5</x:v>
      </x:c>
      <x:c r="E135" s="21">
        <x:f t="shared" si="25"/>
        <x:v>0</x:v>
      </x:c>
      <x:c r="F135" s="21">
        <x:f t="shared" si="23"/>
        <x:v>0</x:v>
      </x:c>
      <x:c r="G135" s="15"/>
      <x:c r="H135" s="21">
        <x:f t="shared" si="24"/>
        <x:v>0</x:v>
      </x:c>
      <x:c r="I135" s="14" t="str">
        <x:v>Gépészet</x:v>
      </x:c>
      <x:c r="J135" s="14"/>
    </x:row>
    <x:row r="136">
      <x:c r="A136" s="13"/>
      <x:c r="B136" s="14" t="s">
        <x:v>138</x:v>
      </x:c>
      <x:c r="C136" s="12" t="str">
        <x:v>db</x:v>
      </x:c>
      <x:c r="D136" s="20">
        <x:v>1</x:v>
      </x:c>
      <x:c r="E136" s="21">
        <x:f t="shared" si="25"/>
        <x:v>0</x:v>
      </x:c>
      <x:c r="F136" s="21">
        <x:f t="shared" si="23"/>
        <x:v>0</x:v>
      </x:c>
      <x:c r="G136" s="15"/>
      <x:c r="H136" s="21">
        <x:f t="shared" si="24"/>
        <x:v>0</x:v>
      </x:c>
      <x:c r="I136" s="14" t="str">
        <x:v>Gépészet</x:v>
      </x:c>
      <x:c r="J136" s="14"/>
    </x:row>
    <x:row r="137">
      <x:c r="A137" s="13"/>
      <x:c r="B137" s="14" t="s">
        <x:v>166</x:v>
      </x:c>
      <x:c r="C137" s="12" t="str">
        <x:v>fm</x:v>
      </x:c>
      <x:c r="D137" s="20">
        <x:v>1</x:v>
      </x:c>
      <x:c r="E137" s="21">
        <x:f t="shared" si="25"/>
        <x:v>0</x:v>
      </x:c>
      <x:c r="F137" s="21">
        <x:f t="shared" si="23"/>
        <x:v>0</x:v>
      </x:c>
      <x:c r="G137" s="15"/>
      <x:c r="H137" s="21">
        <x:f t="shared" si="24"/>
        <x:v>0</x:v>
      </x:c>
      <x:c r="I137" s="14" t="str">
        <x:v>Gépészet</x:v>
      </x:c>
      <x:c r="J137" s="14"/>
    </x:row>
    <x:row r="138">
      <x:c r="A138" s="13"/>
      <x:c r="B138" s="14" t="str">
        <x:v>cső szigetelés - mineral wool (50mm)</x:v>
      </x:c>
      <x:c r="C138" s="12" t="str">
        <x:v>fm</x:v>
      </x:c>
      <x:c r="D138" s="20">
        <x:v>1</x:v>
      </x:c>
      <x:c r="E138" s="21">
        <x:f t="shared" si="25"/>
        <x:v>0</x:v>
      </x:c>
      <x:c r="F138" s="21">
        <x:f t="shared" si="23"/>
        <x:v>0</x:v>
      </x:c>
      <x:c r="G138" s="15"/>
      <x:c r="H138" s="21">
        <x:f t="shared" si="24"/>
        <x:v>0</x:v>
      </x:c>
      <x:c r="I138" s="14" t="str">
        <x:v>Gépészet</x:v>
      </x:c>
      <x:c r="J138" s="14" t="s">
        <x:v>167</x:v>
      </x:c>
    </x:row>
    <x:row r="139">
      <x:c r="A139" s="13"/>
      <x:c r="B139" s="14" t="str">
        <x:v>cső identification marker (red)</x:v>
      </x:c>
      <x:c r="C139" s="12" t="str">
        <x:v>db</x:v>
      </x:c>
      <x:c r="D139" s="20">
        <x:v>0.2</x:v>
      </x:c>
      <x:c r="E139" s="21">
        <x:f t="shared" si="25"/>
        <x:v>0</x:v>
      </x:c>
      <x:c r="F139" s="21">
        <x:f t="shared" si="23"/>
        <x:v>0</x:v>
      </x:c>
      <x:c r="G139" s="15"/>
      <x:c r="H139" s="21">
        <x:f t="shared" si="24"/>
        <x:v>0</x:v>
      </x:c>
      <x:c r="I139" s="14" t="str">
        <x:v>Gépészet</x:v>
      </x:c>
      <x:c r="J139" s="14"/>
    </x:row>
    <x:row r="140">
      <x:c r="A140" s="13"/>
      <x:c r="B140" s="14" t="s">
        <x:v>139</x:v>
      </x:c>
      <x:c r="C140" s="12" t="str">
        <x:v>fm</x:v>
      </x:c>
      <x:c r="D140" s="20">
        <x:v>1</x:v>
      </x:c>
      <x:c r="E140" s="21">
        <x:f t="shared" si="25"/>
        <x:v>0</x:v>
      </x:c>
      <x:c r="F140" s="21">
        <x:f t="shared" si="23"/>
        <x:v>0</x:v>
      </x:c>
      <x:c r="G140" s="15"/>
      <x:c r="H140" s="21">
        <x:f t="shared" si="24"/>
        <x:v>0</x:v>
      </x:c>
      <x:c r="I140" s="14" t="str">
        <x:v>Gépészet</x:v>
      </x:c>
      <x:c r="J140" s="14"/>
    </x:row>
    <x:row r="141">
      <x:c r="A141" s="13"/>
      <x:c r="B141" s="14" t="str">
        <x:v>Labour - pipefitter szerelés</x:v>
      </x:c>
      <x:c r="C141" s="12" t="str">
        <x:v>óra</x:v>
      </x:c>
      <x:c r="D141" s="20">
        <x:v>0.45</x:v>
      </x:c>
      <x:c r="E141" s="21">
        <x:f t="shared" si="25"/>
        <x:v>0</x:v>
      </x:c>
      <x:c r="F141" s="21">
        <x:f t="shared" si="23"/>
        <x:v>0</x:v>
      </x:c>
      <x:c r="G141" s="15"/>
      <x:c r="H141" s="21">
        <x:f t="shared" si="24"/>
        <x:v>0</x:v>
      </x:c>
      <x:c r="I141" s="14" t="str">
        <x:v>Munkaerő</x:v>
      </x:c>
      <x:c r="J141" s="14" t="str">
        <x:v>Slower than réz</x:v>
      </x:c>
    </x:row>
    <x:row r="142">
      <x:c r="A142" s="13"/>
      <x:c r="B142" s="14" t="str">
        <x:v>Labour - pipefitter idomok/welding</x:v>
      </x:c>
      <x:c r="C142" s="12" t="str">
        <x:v>óra</x:v>
      </x:c>
      <x:c r="D142" s="20">
        <x:v>0.2</x:v>
      </x:c>
      <x:c r="E142" s="21">
        <x:f t="shared" si="25"/>
        <x:v>0</x:v>
      </x:c>
      <x:c r="F142" s="21">
        <x:f t="shared" si="23"/>
        <x:v>0</x:v>
      </x:c>
      <x:c r="G142" s="15"/>
      <x:c r="H142" s="21">
        <x:f t="shared" si="24"/>
        <x:v>0</x:v>
      </x:c>
      <x:c r="I142" s="14" t="str">
        <x:v>Munkaerő</x:v>
      </x:c>
      <x:c r="J142" s="14"/>
    </x:row>
    <x:row r="143">
      <x:c r="A143" s="13"/>
      <x:c r="B143" s="14" t="str">
        <x:v>Labour - pipefitter tartószerkezetek</x:v>
      </x:c>
      <x:c r="C143" s="12" t="str">
        <x:v>óra</x:v>
      </x:c>
      <x:c r="D143" s="20">
        <x:v>0.1</x:v>
      </x:c>
      <x:c r="E143" s="21">
        <x:f t="shared" si="25"/>
        <x:v>0</x:v>
      </x:c>
      <x:c r="F143" s="21">
        <x:f t="shared" si="23"/>
        <x:v>0</x:v>
      </x:c>
      <x:c r="G143" s="15"/>
      <x:c r="H143" s="21">
        <x:f t="shared" si="24"/>
        <x:v>0</x:v>
      </x:c>
      <x:c r="I143" s="14" t="str">
        <x:v>Munkaerő</x:v>
      </x:c>
      <x:c r="J143" s="14"/>
    </x:row>
    <x:row r="144">
      <x:c r="A144" s="13"/>
      <x:c r="B144" s="14" t="s">
        <x:v>117</x:v>
      </x:c>
      <x:c r="C144" s="12" t="str">
        <x:v>óra</x:v>
      </x:c>
      <x:c r="D144" s="20">
        <x:v>0.18</x:v>
      </x:c>
      <x:c r="E144" s="21">
        <x:f t="shared" si="25"/>
        <x:v>0</x:v>
      </x:c>
      <x:c r="F144" s="21">
        <x:f t="shared" si="23"/>
        <x:v>0</x:v>
      </x:c>
      <x:c r="G144" s="15"/>
      <x:c r="H144" s="21">
        <x:f t="shared" si="24"/>
        <x:v>0</x:v>
      </x:c>
      <x:c r="I144" s="14" t="str">
        <x:v>Munkaerő</x:v>
      </x:c>
      <x:c r="J144" s="14"/>
    </x:row>
    <x:row r="145">
      <x:c r="A145" s="13"/>
      <x:c r="B145" s="14" t="s">
        <x:v>163</x:v>
      </x:c>
      <x:c r="C145" s="12" t="str">
        <x:v>óra</x:v>
      </x:c>
      <x:c r="D145" s="20">
        <x:v>0.05</x:v>
      </x:c>
      <x:c r="E145" s="21">
        <x:f t="shared" si="25"/>
        <x:v>0</x:v>
      </x:c>
      <x:c r="F145" s="21">
        <x:f t="shared" si="23"/>
        <x:v>0</x:v>
      </x:c>
      <x:c r="G145" s="15"/>
      <x:c r="H145" s="21">
        <x:f t="shared" si="24"/>
        <x:v>0</x:v>
      </x:c>
      <x:c r="I145" s="14" t="str">
        <x:v>Munkaerő</x:v>
      </x:c>
      <x:c r="J145" s="14"/>
    </x:row>
    <x:row r="146">
      <x:c r="A146" s="13"/>
      <x:c r="B146" s="14" t="s">
        <x:v>168</x:v>
      </x:c>
      <x:c r="C146" s="12" t="str">
        <x:v>óra</x:v>
      </x:c>
      <x:c r="D146" s="20">
        <x:v>0.1</x:v>
      </x:c>
      <x:c r="E146" s="21">
        <x:f t="shared" si="25"/>
        <x:v>0</x:v>
      </x:c>
      <x:c r="F146" s="21">
        <x:f t="shared" si="23"/>
        <x:v>0</x:v>
      </x:c>
      <x:c r="G146" s="15"/>
      <x:c r="H146" s="21">
        <x:f t="shared" si="24"/>
        <x:v>0</x:v>
      </x:c>
      <x:c r="I146" s="14" t="str">
        <x:v>Gép</x:v>
      </x:c>
      <x:c r="J146" s="14" t="str">
        <x:v>arányosítva</x:v>
      </x:c>
    </x:row>
    <x:row r="147">
      <x:c r="A147" s="13"/>
      <x:c r="B147" s="14" t="s">
        <x:v>126</x:v>
      </x:c>
      <x:c r="C147" s="12" t="str">
        <x:v>óra</x:v>
      </x:c>
      <x:c r="D147" s="20">
        <x:v>0.2</x:v>
      </x:c>
      <x:c r="E147" s="21">
        <x:f t="shared" si="25"/>
        <x:v>0</x:v>
      </x:c>
      <x:c r="F147" s="21">
        <x:f t="shared" si="23"/>
        <x:v>0</x:v>
      </x:c>
      <x:c r="G147" s="15"/>
      <x:c r="H147" s="21">
        <x:f t="shared" si="24"/>
        <x:v>0</x:v>
      </x:c>
      <x:c r="I147" s="14" t="str">
        <x:v>Gép</x:v>
      </x:c>
      <x:c r="J147" s="14"/>
    </x:row>
    <x:row r="148">
      <x:c r="A148" s="22"/>
      <x:c r="B148" s="23" t="s">
        <x:v>169</x:v>
      </x:c>
      <x:c r="C148" s="22"/>
      <x:c r="D148" s="22"/>
      <x:c r="E148" s="22"/>
      <x:c r="F148" s="22"/>
      <x:c r="G148" s="22"/>
      <x:c r="H148" s="24" t="n">
        <x:f>SUM(H133:H147)</x:f>
        <x:v>0</x:v>
      </x:c>
      <x:c r="I148" s="22"/>
      <x:c r="J148" s="22"/>
    </x:row>
    <x:row r="150">
      <x:c r="J150" s="17" t="s">
        <x:v>170</x:v>
      </x:c>
    </x:row>
    <x:row r="151">
      <x:c r="A151" s="18" t="s">
        <x:v>113</x:v>
      </x:c>
      <x:c r="B151" s="19" t="str">
        <x:v>kondenzvíz-elvezetés - uPVC (32mm)</x:v>
      </x:c>
      <x:c r="C151" s="12" t="str">
        <x:v>fm</x:v>
      </x:c>
      <x:c r="D151" s="20">
        <x:v>1</x:v>
      </x:c>
      <x:c r="E151" s="16" t="n">
        <x:f>'HVAC QTO'!M80</x:f>
        <x:v>0</x:v>
      </x:c>
      <x:c r="F151" s="21" t="n">
        <x:f t="shared" ref="F151:F160" si="26">D151*E151</x:f>
        <x:v>0</x:v>
      </x:c>
      <x:c r="G151" s="15"/>
      <x:c r="H151" s="21" t="n">
        <x:f t="shared" ref="H151:H160" si="27">F151*G151</x:f>
        <x:v>0</x:v>
      </x:c>
      <x:c r="I151" s="14" t="str">
        <x:v>Gépészet</x:v>
      </x:c>
      <x:c r="J151" s="14" t="str">
        <x:v>csak anyagellátás</x:v>
      </x:c>
    </x:row>
    <x:row r="152">
      <x:c r="A152" s="13"/>
      <x:c r="B152" s="14" t="str">
        <x:v>cső idomok (könyök idomok/T-idomok)</x:v>
      </x:c>
      <x:c r="C152" s="12" t="str">
        <x:v>db</x:v>
      </x:c>
      <x:c r="D152" s="20">
        <x:v>0.5</x:v>
      </x:c>
      <x:c r="E152" s="21" t="n">
        <x:f t="shared" ref="E152:E160" si="28">E$151</x:f>
        <x:v>0</x:v>
      </x:c>
      <x:c r="F152" s="21">
        <x:f t="shared" si="26"/>
        <x:v>0</x:v>
      </x:c>
      <x:c r="G152" s="15"/>
      <x:c r="H152" s="21">
        <x:f t="shared" si="27"/>
        <x:v>0</x:v>
      </x:c>
      <x:c r="I152" s="14" t="str">
        <x:v>Gépészet</x:v>
      </x:c>
      <x:c r="J152" s="14" t="s">
        <x:v>136</x:v>
      </x:c>
    </x:row>
    <x:row r="153">
      <x:c r="A153" s="13"/>
      <x:c r="B153" s="14" t="s">
        <x:v>171</x:v>
      </x:c>
      <x:c r="C153" s="12" t="str">
        <x:v>db</x:v>
      </x:c>
      <x:c r="D153" s="20">
        <x:v>0.1</x:v>
      </x:c>
      <x:c r="E153" s="21">
        <x:f t="shared" si="28"/>
        <x:v>0</x:v>
      </x:c>
      <x:c r="F153" s="21">
        <x:f t="shared" si="26"/>
        <x:v>0</x:v>
      </x:c>
      <x:c r="G153" s="15"/>
      <x:c r="H153" s="21">
        <x:f t="shared" si="27"/>
        <x:v>0</x:v>
      </x:c>
      <x:c r="I153" s="14" t="str">
        <x:v>Gépészet</x:v>
      </x:c>
      <x:c r="J153" s="14" t="str">
        <x:v>1 per fan-coil drain run</x:v>
      </x:c>
    </x:row>
    <x:row r="154">
      <x:c r="A154" s="13"/>
      <x:c r="B154" s="14" t="str">
        <x:v>függesztő / clip</x:v>
      </x:c>
      <x:c r="C154" s="12" t="str">
        <x:v>db</x:v>
      </x:c>
      <x:c r="D154" s="20">
        <x:v>0.7</x:v>
      </x:c>
      <x:c r="E154" s="21">
        <x:f t="shared" si="28"/>
        <x:v>0</x:v>
      </x:c>
      <x:c r="F154" s="21">
        <x:f t="shared" si="26"/>
        <x:v>0</x:v>
      </x:c>
      <x:c r="G154" s="15"/>
      <x:c r="H154" s="21">
        <x:f t="shared" si="27"/>
        <x:v>0</x:v>
      </x:c>
      <x:c r="I154" s="14" t="str">
        <x:v>Gépészet</x:v>
      </x:c>
      <x:c r="J154" s="14" t="s">
        <x:v>172</x:v>
      </x:c>
    </x:row>
    <x:row r="155">
      <x:c r="A155" s="13"/>
      <x:c r="B155" s="14" t="s">
        <x:v>173</x:v>
      </x:c>
      <x:c r="C155" s="12" t="str">
        <x:v>fm</x:v>
      </x:c>
      <x:c r="D155" s="20">
        <x:v>1</x:v>
      </x:c>
      <x:c r="E155" s="21">
        <x:f t="shared" si="28"/>
        <x:v>0</x:v>
      </x:c>
      <x:c r="F155" s="21">
        <x:f t="shared" si="26"/>
        <x:v>0</x:v>
      </x:c>
      <x:c r="G155" s="15"/>
      <x:c r="H155" s="21">
        <x:f t="shared" si="27"/>
        <x:v>0</x:v>
      </x:c>
      <x:c r="I155" s="14" t="str">
        <x:v>Gépészet</x:v>
      </x:c>
      <x:c r="J155" s="14"/>
    </x:row>
    <x:row r="156">
      <x:c r="A156" s="13"/>
      <x:c r="B156" s="14" t="str">
        <x:v>Sundries (labels, konzolok)</x:v>
      </x:c>
      <x:c r="C156" s="12" t="str">
        <x:v>fm</x:v>
      </x:c>
      <x:c r="D156" s="20">
        <x:v>1</x:v>
      </x:c>
      <x:c r="E156" s="21">
        <x:f t="shared" si="28"/>
        <x:v>0</x:v>
      </x:c>
      <x:c r="F156" s="21">
        <x:f t="shared" si="26"/>
        <x:v>0</x:v>
      </x:c>
      <x:c r="G156" s="15"/>
      <x:c r="H156" s="21">
        <x:f t="shared" si="27"/>
        <x:v>0</x:v>
      </x:c>
      <x:c r="I156" s="14" t="str">
        <x:v>Gépészet</x:v>
      </x:c>
      <x:c r="J156" s="14"/>
    </x:row>
    <x:row r="157">
      <x:c r="A157" s="13"/>
      <x:c r="B157" s="14" t="str">
        <x:v>Labour - pipefitter szerelés</x:v>
      </x:c>
      <x:c r="C157" s="12" t="str">
        <x:v>óra</x:v>
      </x:c>
      <x:c r="D157" s="20">
        <x:v>0.2</x:v>
      </x:c>
      <x:c r="E157" s="21">
        <x:f t="shared" si="28"/>
        <x:v>0</x:v>
      </x:c>
      <x:c r="F157" s="21">
        <x:f t="shared" si="26"/>
        <x:v>0</x:v>
      </x:c>
      <x:c r="G157" s="15"/>
      <x:c r="H157" s="21">
        <x:f t="shared" si="27"/>
        <x:v>0</x:v>
      </x:c>
      <x:c r="I157" s="14" t="str">
        <x:v>Munkaerő</x:v>
      </x:c>
      <x:c r="J157" s="14" t="s">
        <x:v>174</x:v>
      </x:c>
    </x:row>
    <x:row r="158">
      <x:c r="A158" s="13"/>
      <x:c r="B158" s="14" t="str">
        <x:v>Labour - pipefitter idomok</x:v>
      </x:c>
      <x:c r="C158" s="12" t="str">
        <x:v>óra</x:v>
      </x:c>
      <x:c r="D158" s="20">
        <x:v>0.1</x:v>
      </x:c>
      <x:c r="E158" s="21">
        <x:f t="shared" si="28"/>
        <x:v>0</x:v>
      </x:c>
      <x:c r="F158" s="21">
        <x:f t="shared" si="26"/>
        <x:v>0</x:v>
      </x:c>
      <x:c r="G158" s="15"/>
      <x:c r="H158" s="21">
        <x:f t="shared" si="27"/>
        <x:v>0</x:v>
      </x:c>
      <x:c r="I158" s="14" t="str">
        <x:v>Munkaerő</x:v>
      </x:c>
      <x:c r="J158" s="14"/>
    </x:row>
    <x:row r="159">
      <x:c r="A159" s="13"/>
      <x:c r="B159" s="14" t="str">
        <x:v>Labour - fall set-out &amp; tartószerkezetek</x:v>
      </x:c>
      <x:c r="C159" s="12" t="str">
        <x:v>óra</x:v>
      </x:c>
      <x:c r="D159" s="20">
        <x:v>0.08</x:v>
      </x:c>
      <x:c r="E159" s="21">
        <x:f t="shared" si="28"/>
        <x:v>0</x:v>
      </x:c>
      <x:c r="F159" s="21">
        <x:f t="shared" si="26"/>
        <x:v>0</x:v>
      </x:c>
      <x:c r="G159" s="15"/>
      <x:c r="H159" s="21">
        <x:f t="shared" si="27"/>
        <x:v>0</x:v>
      </x:c>
      <x:c r="I159" s="14" t="str">
        <x:v>Munkaerő</x:v>
      </x:c>
      <x:c r="J159" s="14" t="s">
        <x:v>175</x:v>
      </x:c>
    </x:row>
    <x:row r="160">
      <x:c r="A160" s="13"/>
      <x:c r="B160" s="14" t="s">
        <x:v>140</x:v>
      </x:c>
      <x:c r="C160" s="12" t="str">
        <x:v>óra</x:v>
      </x:c>
      <x:c r="D160" s="20">
        <x:v>0.15</x:v>
      </x:c>
      <x:c r="E160" s="21">
        <x:f t="shared" si="28"/>
        <x:v>0</x:v>
      </x:c>
      <x:c r="F160" s="21">
        <x:f t="shared" si="26"/>
        <x:v>0</x:v>
      </x:c>
      <x:c r="G160" s="15"/>
      <x:c r="H160" s="21">
        <x:f t="shared" si="27"/>
        <x:v>0</x:v>
      </x:c>
      <x:c r="I160" s="14" t="str">
        <x:v>Gép</x:v>
      </x:c>
      <x:c r="J160" s="14"/>
    </x:row>
    <x:row r="161">
      <x:c r="A161" s="22"/>
      <x:c r="B161" s="23" t="s">
        <x:v>176</x:v>
      </x:c>
      <x:c r="C161" s="22"/>
      <x:c r="D161" s="22"/>
      <x:c r="E161" s="22"/>
      <x:c r="F161" s="22"/>
      <x:c r="G161" s="22"/>
      <x:c r="H161" s="24" t="n">
        <x:f>SUM(H151:H160)</x:f>
        <x:v>0</x:v>
      </x:c>
      <x:c r="I161" s="22"/>
      <x:c r="J161" s="22"/>
    </x:row>
    <x:row r="163">
      <x:c r="J163" s="17" t="s">
        <x:v>177</x:v>
      </x:c>
    </x:row>
    <x:row r="164">
      <x:c r="A164" s="18" t="s">
        <x:v>113</x:v>
      </x:c>
      <x:c r="B164" s="19" t="str">
        <x:v>légkezelő - tetőre telepített kompakt</x:v>
      </x:c>
      <x:c r="C164" s="12" t="str">
        <x:v>db</x:v>
      </x:c>
      <x:c r="D164" s="20">
        <x:v>1</x:v>
      </x:c>
      <x:c r="E164" s="16" t="n">
        <x:f>'HVAC QTO'!M24</x:f>
        <x:v>0</x:v>
      </x:c>
      <x:c r="F164" s="21" t="n">
        <x:f t="shared" ref="F164:F184" si="29">D164*E164</x:f>
        <x:v>0</x:v>
      </x:c>
      <x:c r="G164" s="15"/>
      <x:c r="H164" s="21" t="n">
        <x:f t="shared" ref="H164:H184" si="30">F164*G164</x:f>
        <x:v>0</x:v>
      </x:c>
      <x:c r="I164" s="14" t="str">
        <x:v>Gépészet</x:v>
      </x:c>
      <x:c r="J164" s="14" t="str">
        <x:v>csak anyagellátás</x:v>
      </x:c>
    </x:row>
    <x:row r="165">
      <x:c r="A165" s="13"/>
      <x:c r="B165" s="14" t="str">
        <x:v>rezgésszigetelés - rugós rezgéscsillapítók</x:v>
      </x:c>
      <x:c r="C165" s="12" t="str">
        <x:v>klt.</x:v>
      </x:c>
      <x:c r="D165" s="20">
        <x:v>1</x:v>
      </x:c>
      <x:c r="E165" s="21" t="n">
        <x:f t="shared" ref="E165:E184" si="31">E$164</x:f>
        <x:v>0</x:v>
      </x:c>
      <x:c r="F165" s="21">
        <x:f t="shared" si="29"/>
        <x:v>0</x:v>
      </x:c>
      <x:c r="G165" s="15"/>
      <x:c r="H165" s="21">
        <x:f t="shared" si="30"/>
        <x:v>0</x:v>
      </x:c>
      <x:c r="I165" s="14" t="str">
        <x:v>Gépészet</x:v>
      </x:c>
      <x:c r="J165" s="14" t="s">
        <x:v>178</x:v>
      </x:c>
    </x:row>
    <x:row r="166">
      <x:c r="A166" s="13"/>
      <x:c r="B166" s="14" t="str">
        <x:v>Curb / tetőperem szerelvény (szigetelt)</x:v>
      </x:c>
      <x:c r="C166" s="12" t="str">
        <x:v>db</x:v>
      </x:c>
      <x:c r="D166" s="20">
        <x:v>1</x:v>
      </x:c>
      <x:c r="E166" s="21">
        <x:f t="shared" si="31"/>
        <x:v>0</x:v>
      </x:c>
      <x:c r="F166" s="21">
        <x:f t="shared" si="29"/>
        <x:v>0</x:v>
      </x:c>
      <x:c r="G166" s="15"/>
      <x:c r="H166" s="21">
        <x:f t="shared" si="30"/>
        <x:v>0</x:v>
      </x:c>
      <x:c r="I166" s="14" t="str">
        <x:v>Gépészet</x:v>
      </x:c>
      <x:c r="J166" s="14" t="str">
        <x:v>tetőre szerelt curb</x:v>
      </x:c>
    </x:row>
    <x:row r="167">
      <x:c r="A167" s="13"/>
      <x:c r="B167" s="14" t="str">
        <x:v>flexibilis légcsatorna csatlakozás - befúvás</x:v>
      </x:c>
      <x:c r="C167" s="12" t="str">
        <x:v>db</x:v>
      </x:c>
      <x:c r="D167" s="20">
        <x:v>1</x:v>
      </x:c>
      <x:c r="E167" s="21">
        <x:f t="shared" si="31"/>
        <x:v>0</x:v>
      </x:c>
      <x:c r="F167" s="21">
        <x:f t="shared" si="29"/>
        <x:v>0</x:v>
      </x:c>
      <x:c r="G167" s="15"/>
      <x:c r="H167" s="21">
        <x:f t="shared" si="30"/>
        <x:v>0</x:v>
      </x:c>
      <x:c r="I167" s="14" t="str">
        <x:v>Gépészet</x:v>
      </x:c>
      <x:c r="J167" s="14" t="str">
        <x:v>vászonbetétes/neoprén</x:v>
      </x:c>
    </x:row>
    <x:row r="168">
      <x:c r="A168" s="13"/>
      <x:c r="B168" s="14" t="str">
        <x:v>flexibilis légcsatorna csatlakozás - elszívás / visszatérő</x:v>
      </x:c>
      <x:c r="C168" s="12" t="str">
        <x:v>db</x:v>
      </x:c>
      <x:c r="D168" s="20">
        <x:v>1</x:v>
      </x:c>
      <x:c r="E168" s="21">
        <x:f t="shared" si="31"/>
        <x:v>0</x:v>
      </x:c>
      <x:c r="F168" s="21">
        <x:f t="shared" si="29"/>
        <x:v>0</x:v>
      </x:c>
      <x:c r="G168" s="15"/>
      <x:c r="H168" s="21">
        <x:f t="shared" si="30"/>
        <x:v>0</x:v>
      </x:c>
      <x:c r="I168" s="14" t="str">
        <x:v>Gépészet</x:v>
      </x:c>
      <x:c r="J168" s="14"/>
    </x:row>
    <x:row r="169">
      <x:c r="A169" s="13"/>
      <x:c r="B169" s="14" t="str">
        <x:v>hűtött víz headers (előremenő és visszatérő)</x:v>
      </x:c>
      <x:c r="C169" s="12" t="str">
        <x:v>klt.</x:v>
      </x:c>
      <x:c r="D169" s="20">
        <x:v>1</x:v>
      </x:c>
      <x:c r="E169" s="21">
        <x:f t="shared" si="31"/>
        <x:v>0</x:v>
      </x:c>
      <x:c r="F169" s="21">
        <x:f t="shared" si="29"/>
        <x:v>0</x:v>
      </x:c>
      <x:c r="G169" s="15"/>
      <x:c r="H169" s="21">
        <x:f t="shared" si="30"/>
        <x:v>0</x:v>
      </x:c>
      <x:c r="I169" s="14" t="str">
        <x:v>Gépészet</x:v>
      </x:c>
      <x:c r="J169" s="14" t="str">
        <x:v>tartalmazza balancing szelep</x:v>
      </x:c>
    </x:row>
    <x:row r="170">
      <x:c r="A170" s="13"/>
      <x:c r="B170" s="14" t="str">
        <x:v>melegvíz headers (előremenő és visszatérő)</x:v>
      </x:c>
      <x:c r="C170" s="12" t="str">
        <x:v>klt.</x:v>
      </x:c>
      <x:c r="D170" s="20">
        <x:v>1</x:v>
      </x:c>
      <x:c r="E170" s="21">
        <x:f t="shared" si="31"/>
        <x:v>0</x:v>
      </x:c>
      <x:c r="F170" s="21">
        <x:f t="shared" si="29"/>
        <x:v>0</x:v>
      </x:c>
      <x:c r="G170" s="15"/>
      <x:c r="H170" s="21">
        <x:f t="shared" si="30"/>
        <x:v>0</x:v>
      </x:c>
      <x:c r="I170" s="14" t="str">
        <x:v>Gépészet</x:v>
      </x:c>
      <x:c r="J170" s="14" t="s">
        <x:v>179</x:v>
      </x:c>
    </x:row>
    <x:row r="171">
      <x:c r="A171" s="13"/>
      <x:c r="B171" s="14" t="str">
        <x:v>kondenzvíz-elvezetés trap &amp; pipework</x:v>
      </x:c>
      <x:c r="C171" s="12" t="str">
        <x:v>klt.</x:v>
      </x:c>
      <x:c r="D171" s="20">
        <x:v>1</x:v>
      </x:c>
      <x:c r="E171" s="21">
        <x:f t="shared" si="31"/>
        <x:v>0</x:v>
      </x:c>
      <x:c r="F171" s="21">
        <x:f t="shared" si="29"/>
        <x:v>0</x:v>
      </x:c>
      <x:c r="G171" s="15"/>
      <x:c r="H171" s="21">
        <x:f t="shared" si="30"/>
        <x:v>0</x:v>
      </x:c>
      <x:c r="I171" s="14" t="str">
        <x:v>Gépészet</x:v>
      </x:c>
      <x:c r="J171" s="14" t="str">
        <x:v>5m drain ráhagyás</x:v>
      </x:c>
    </x:row>
    <x:row r="172">
      <x:c r="A172" s="13"/>
      <x:c r="B172" s="14" t="s">
        <x:v>180</x:v>
      </x:c>
      <x:c r="C172" s="12" t="str">
        <x:v>klt.</x:v>
      </x:c>
      <x:c r="D172" s="20">
        <x:v>1</x:v>
      </x:c>
      <x:c r="E172" s="21">
        <x:f t="shared" si="31"/>
        <x:v>0</x:v>
      </x:c>
      <x:c r="F172" s="21">
        <x:f t="shared" si="29"/>
        <x:v>0</x:v>
      </x:c>
      <x:c r="G172" s="15"/>
      <x:c r="H172" s="21">
        <x:f t="shared" si="30"/>
        <x:v>0</x:v>
      </x:c>
      <x:c r="I172" s="14" t="str">
        <x:v>BMS épületfelügyelet</x:v>
      </x:c>
      <x:c r="J172" s="14" t="str">
        <x:v>Plus csappantyú actuators</x:v>
      </x:c>
    </x:row>
    <x:row r="173">
      <x:c r="A173" s="13"/>
      <x:c r="B173" s="14" t="str">
        <x:v>szigetelés - pipework around légkezelő</x:v>
      </x:c>
      <x:c r="C173" s="12" t="str">
        <x:v>klt.</x:v>
      </x:c>
      <x:c r="D173" s="20">
        <x:v>1</x:v>
      </x:c>
      <x:c r="E173" s="21">
        <x:f t="shared" si="31"/>
        <x:v>0</x:v>
      </x:c>
      <x:c r="F173" s="21">
        <x:f t="shared" si="29"/>
        <x:v>0</x:v>
      </x:c>
      <x:c r="G173" s="15"/>
      <x:c r="H173" s="21">
        <x:f t="shared" si="30"/>
        <x:v>0</x:v>
      </x:c>
      <x:c r="I173" s="14" t="str">
        <x:v>Gépészet</x:v>
      </x:c>
      <x:c r="J173" s="14" t="str">
        <x:v>magas ráhagyás - congested</x:v>
      </x:c>
    </x:row>
    <x:row r="174">
      <x:c r="A174" s="13"/>
      <x:c r="B174" s="14" t="str">
        <x:v>Acoustic silencer - befúvás</x:v>
      </x:c>
      <x:c r="C174" s="12" t="str">
        <x:v>db</x:v>
      </x:c>
      <x:c r="D174" s="20">
        <x:v>1</x:v>
      </x:c>
      <x:c r="E174" s="21">
        <x:f t="shared" si="31"/>
        <x:v>0</x:v>
      </x:c>
      <x:c r="F174" s="21">
        <x:f t="shared" si="29"/>
        <x:v>0</x:v>
      </x:c>
      <x:c r="G174" s="15"/>
      <x:c r="H174" s="21">
        <x:f t="shared" si="30"/>
        <x:v>0</x:v>
      </x:c>
      <x:c r="I174" s="14" t="str">
        <x:v>Gépészet</x:v>
      </x:c>
      <x:c r="J174" s="14"/>
    </x:row>
    <x:row r="175">
      <x:c r="A175" s="13"/>
      <x:c r="B175" s="14" t="str">
        <x:v>Acoustic silencer - elszívás / visszatérő</x:v>
      </x:c>
      <x:c r="C175" s="12" t="str">
        <x:v>db</x:v>
      </x:c>
      <x:c r="D175" s="20">
        <x:v>1</x:v>
      </x:c>
      <x:c r="E175" s="21">
        <x:f t="shared" si="31"/>
        <x:v>0</x:v>
      </x:c>
      <x:c r="F175" s="21">
        <x:f t="shared" si="29"/>
        <x:v>0</x:v>
      </x:c>
      <x:c r="G175" s="15"/>
      <x:c r="H175" s="21">
        <x:f t="shared" si="30"/>
        <x:v>0</x:v>
      </x:c>
      <x:c r="I175" s="14" t="str">
        <x:v>Gépészet</x:v>
      </x:c>
      <x:c r="J175" s="14"/>
    </x:row>
    <x:row r="176">
      <x:c r="A176" s="13"/>
      <x:c r="B176" s="14" t="str">
        <x:v>Sundries (gaskets, tömítőanyag, labels)</x:v>
      </x:c>
      <x:c r="C176" s="12" t="str">
        <x:v>klt.</x:v>
      </x:c>
      <x:c r="D176" s="20">
        <x:v>1</x:v>
      </x:c>
      <x:c r="E176" s="21">
        <x:f t="shared" si="31"/>
        <x:v>0</x:v>
      </x:c>
      <x:c r="F176" s="21">
        <x:f t="shared" si="29"/>
        <x:v>0</x:v>
      </x:c>
      <x:c r="G176" s="15"/>
      <x:c r="H176" s="21">
        <x:f t="shared" si="30"/>
        <x:v>0</x:v>
      </x:c>
      <x:c r="I176" s="14" t="str">
        <x:v>Gépészet</x:v>
      </x:c>
      <x:c r="J176" s="14"/>
    </x:row>
    <x:row r="177">
      <x:c r="A177" s="13"/>
      <x:c r="B177" s="14" t="s">
        <x:v>181</x:v>
      </x:c>
      <x:c r="C177" s="12" t="str">
        <x:v>óra</x:v>
      </x:c>
      <x:c r="D177" s="20">
        <x:v>8</x:v>
      </x:c>
      <x:c r="E177" s="21">
        <x:f t="shared" si="31"/>
        <x:v>0</x:v>
      </x:c>
      <x:c r="F177" s="21">
        <x:f t="shared" si="29"/>
        <x:v>0</x:v>
      </x:c>
      <x:c r="G177" s="15"/>
      <x:c r="H177" s="21">
        <x:f t="shared" si="30"/>
        <x:v>0</x:v>
      </x:c>
      <x:c r="I177" s="14" t="str">
        <x:v>Munkaerő</x:v>
      </x:c>
      <x:c r="J177" s="14" t="s">
        <x:v>182</x:v>
      </x:c>
    </x:row>
    <x:row r="178">
      <x:c r="A178" s="13"/>
      <x:c r="B178" s="14" t="s">
        <x:v>183</x:v>
      </x:c>
      <x:c r="C178" s="12" t="str">
        <x:v>óra</x:v>
      </x:c>
      <x:c r="D178" s="20">
        <x:v>16</x:v>
      </x:c>
      <x:c r="E178" s="21">
        <x:f t="shared" si="31"/>
        <x:v>0</x:v>
      </x:c>
      <x:c r="F178" s="21">
        <x:f t="shared" si="29"/>
        <x:v>0</x:v>
      </x:c>
      <x:c r="G178" s="15"/>
      <x:c r="H178" s="21">
        <x:f t="shared" si="30"/>
        <x:v>0</x:v>
      </x:c>
      <x:c r="I178" s="14" t="str">
        <x:v>Munkaerő</x:v>
      </x:c>
      <x:c r="J178" s="14" t="s">
        <x:v>184</x:v>
      </x:c>
    </x:row>
    <x:row r="179">
      <x:c r="A179" s="13"/>
      <x:c r="B179" s="14" t="str">
        <x:v>Labour - sheetmetal (légcsatorna connections)</x:v>
      </x:c>
      <x:c r="C179" s="12" t="str">
        <x:v>óra</x:v>
      </x:c>
      <x:c r="D179" s="20">
        <x:v>6</x:v>
      </x:c>
      <x:c r="E179" s="21">
        <x:f t="shared" si="31"/>
        <x:v>0</x:v>
      </x:c>
      <x:c r="F179" s="21">
        <x:f t="shared" si="29"/>
        <x:v>0</x:v>
      </x:c>
      <x:c r="G179" s="15"/>
      <x:c r="H179" s="21">
        <x:f t="shared" si="30"/>
        <x:v>0</x:v>
      </x:c>
      <x:c r="I179" s="14" t="str">
        <x:v>Munkaerő</x:v>
      </x:c>
      <x:c r="J179" s="14"/>
    </x:row>
    <x:row r="180">
      <x:c r="A180" s="13"/>
      <x:c r="B180" s="14" t="s">
        <x:v>117</x:v>
      </x:c>
      <x:c r="C180" s="12" t="str">
        <x:v>óra</x:v>
      </x:c>
      <x:c r="D180" s="20">
        <x:v>8</x:v>
      </x:c>
      <x:c r="E180" s="21">
        <x:f t="shared" si="31"/>
        <x:v>0</x:v>
      </x:c>
      <x:c r="F180" s="21">
        <x:f t="shared" si="29"/>
        <x:v>0</x:v>
      </x:c>
      <x:c r="G180" s="15"/>
      <x:c r="H180" s="21">
        <x:f t="shared" si="30"/>
        <x:v>0</x:v>
      </x:c>
      <x:c r="I180" s="14" t="str">
        <x:v>Munkaerő</x:v>
      </x:c>
      <x:c r="J180" s="14" t="s">
        <x:v>185</x:v>
      </x:c>
    </x:row>
    <x:row r="181">
      <x:c r="A181" s="13"/>
      <x:c r="B181" s="14" t="s">
        <x:v>118</x:v>
      </x:c>
      <x:c r="C181" s="12" t="str">
        <x:v>óra</x:v>
      </x:c>
      <x:c r="D181" s="20">
        <x:v>8</x:v>
      </x:c>
      <x:c r="E181" s="21">
        <x:f t="shared" si="31"/>
        <x:v>0</x:v>
      </x:c>
      <x:c r="F181" s="21">
        <x:f t="shared" si="29"/>
        <x:v>0</x:v>
      </x:c>
      <x:c r="G181" s="15"/>
      <x:c r="H181" s="21">
        <x:f t="shared" si="30"/>
        <x:v>0</x:v>
      </x:c>
      <x:c r="I181" s="14" t="str">
        <x:v>Munkaerő</x:v>
      </x:c>
      <x:c r="J181" s="14"/>
    </x:row>
    <x:row r="182">
      <x:c r="A182" s="13"/>
      <x:c r="B182" s="14" t="s">
        <x:v>186</x:v>
      </x:c>
      <x:c r="C182" s="12" t="str">
        <x:v>óra</x:v>
      </x:c>
      <x:c r="D182" s="20">
        <x:v>4</x:v>
      </x:c>
      <x:c r="E182" s="21">
        <x:f t="shared" si="31"/>
        <x:v>0</x:v>
      </x:c>
      <x:c r="F182" s="21">
        <x:f t="shared" si="29"/>
        <x:v>0</x:v>
      </x:c>
      <x:c r="G182" s="15"/>
      <x:c r="H182" s="21">
        <x:f t="shared" si="30"/>
        <x:v>0</x:v>
      </x:c>
      <x:c r="I182" s="14" t="str">
        <x:v>Munkaerő</x:v>
      </x:c>
      <x:c r="J182" s="14"/>
    </x:row>
    <x:row r="183">
      <x:c r="A183" s="13"/>
      <x:c r="B183" s="14" t="str">
        <x:v>Crane (small 20t) - légkezelő lift</x:v>
      </x:c>
      <x:c r="C183" s="12" t="str">
        <x:v>óra</x:v>
      </x:c>
      <x:c r="D183" s="20">
        <x:v>4</x:v>
      </x:c>
      <x:c r="E183" s="21">
        <x:f t="shared" si="31"/>
        <x:v>0</x:v>
      </x:c>
      <x:c r="F183" s="21">
        <x:f t="shared" si="29"/>
        <x:v>0</x:v>
      </x:c>
      <x:c r="G183" s="15"/>
      <x:c r="H183" s="21">
        <x:f t="shared" si="30"/>
        <x:v>0</x:v>
      </x:c>
      <x:c r="I183" s="14" t="str">
        <x:v>Gép</x:v>
      </x:c>
      <x:c r="J183" s="14" t="s">
        <x:v>187</x:v>
      </x:c>
    </x:row>
    <x:row r="184">
      <x:c r="A184" s="13"/>
      <x:c r="B184" s="14" t="s">
        <x:v>188</x:v>
      </x:c>
      <x:c r="C184" s="12" t="str">
        <x:v>óra</x:v>
      </x:c>
      <x:c r="D184" s="20">
        <x:v>8</x:v>
      </x:c>
      <x:c r="E184" s="21">
        <x:f t="shared" si="31"/>
        <x:v>0</x:v>
      </x:c>
      <x:c r="F184" s="21">
        <x:f t="shared" si="29"/>
        <x:v>0</x:v>
      </x:c>
      <x:c r="G184" s="15"/>
      <x:c r="H184" s="21">
        <x:f t="shared" si="30"/>
        <x:v>0</x:v>
      </x:c>
      <x:c r="I184" s="14" t="str">
        <x:v>Gép</x:v>
      </x:c>
      <x:c r="J184" s="14" t="str">
        <x:v>For magas pipework</x:v>
      </x:c>
    </x:row>
    <x:row r="185">
      <x:c r="A185" s="22"/>
      <x:c r="B185" s="23" t="s">
        <x:v>189</x:v>
      </x:c>
      <x:c r="C185" s="22"/>
      <x:c r="D185" s="22"/>
      <x:c r="E185" s="22"/>
      <x:c r="F185" s="22"/>
      <x:c r="G185" s="22"/>
      <x:c r="H185" s="24" t="n">
        <x:f>SUM(H164:H184)</x:f>
        <x:v>0</x:v>
      </x:c>
      <x:c r="I185" s="22"/>
      <x:c r="J185" s="22"/>
    </x:row>
    <x:row r="187">
      <x:c r="J187" s="17" t="str">
        <x:v>Mennyiségfelvétel hivatkozás 1.1</x:v>
      </x:c>
    </x:row>
    <x:row r="188">
      <x:c r="A188" s="18" t="s">
        <x:v>113</x:v>
      </x:c>
      <x:c r="B188" s="19" t="str">
        <x:v>folyadékhűtő - léghűtéses</x:v>
      </x:c>
      <x:c r="C188" s="12" t="s">
        <x:v>190</x:v>
      </x:c>
      <x:c r="D188" s="20">
        <x:v>1</x:v>
      </x:c>
      <x:c r="E188" s="16" t="n">
        <x:f>'HVAC QTO'!M11</x:f>
        <x:v>0</x:v>
      </x:c>
      <x:c r="F188" s="21" t="n">
        <x:f t="shared" ref="F188:F203" si="32">D188*E188</x:f>
        <x:v>0</x:v>
      </x:c>
      <x:c r="G188" s="15"/>
      <x:c r="H188" s="21" t="n">
        <x:f t="shared" ref="H188:H203" si="33">F188*G188</x:f>
        <x:v>0</x:v>
      </x:c>
      <x:c r="I188" s="14" t="str">
        <x:v>Gépészet</x:v>
      </x:c>
      <x:c r="J188" s="14" t="str">
        <x:v>csak anyagellátás</x:v>
      </x:c>
    </x:row>
    <x:row r="189">
      <x:c r="A189" s="13"/>
      <x:c r="B189" s="14" t="str">
        <x:v>rezgésszigetelés - rugós rezgéscsillapító bakok</x:v>
      </x:c>
      <x:c r="C189" s="12" t="str">
        <x:v>klt.</x:v>
      </x:c>
      <x:c r="D189" s="20">
        <x:v>5.0000000000000001E-3</x:v>
      </x:c>
      <x:c r="E189" s="21" t="n">
        <x:f t="shared" ref="E189:E203" si="34">E$188</x:f>
        <x:v>0</x:v>
      </x:c>
      <x:c r="F189" s="21">
        <x:f t="shared" si="32"/>
        <x:v>0</x:v>
      </x:c>
      <x:c r="G189" s="15"/>
      <x:c r="H189" s="21">
        <x:f t="shared" si="33"/>
        <x:v>0</x:v>
      </x:c>
      <x:c r="I189" s="14" t="str">
        <x:v>Gépészet</x:v>
      </x:c>
      <x:c r="J189" s="14" t="str">
        <x:v>1 set per ~200kW folyadékhűtő</x:v>
      </x:c>
    </x:row>
    <x:row r="190">
      <x:c r="A190" s="13"/>
      <x:c r="B190" s="14" t="str">
        <x:v>Concrete plinth / acél skid base</x:v>
      </x:c>
      <x:c r="C190" s="12" t="str">
        <x:v>klt.</x:v>
      </x:c>
      <x:c r="D190" s="20">
        <x:v>5.0000000000000001E-3</x:v>
      </x:c>
      <x:c r="E190" s="21">
        <x:f t="shared" si="34"/>
        <x:v>0</x:v>
      </x:c>
      <x:c r="F190" s="21">
        <x:f t="shared" si="32"/>
        <x:v>0</x:v>
      </x:c>
      <x:c r="G190" s="15"/>
      <x:c r="H190" s="21">
        <x:f t="shared" si="33"/>
        <x:v>0</x:v>
      </x:c>
      <x:c r="I190" s="14" t="str">
        <x:v>Gépészet</x:v>
      </x:c>
      <x:c r="J190" s="14" t="str">
        <x:v>1 per folyadékhűtő</x:v>
      </x:c>
    </x:row>
    <x:row r="191">
      <x:c r="A191" s="13"/>
      <x:c r="B191" s="14" t="str">
        <x:v>hűtött víz headers (DN150)</x:v>
      </x:c>
      <x:c r="C191" s="12" t="str">
        <x:v>klt.</x:v>
      </x:c>
      <x:c r="D191" s="20">
        <x:v>5.0000000000000001E-3</x:v>
      </x:c>
      <x:c r="E191" s="21">
        <x:f t="shared" si="34"/>
        <x:v>0</x:v>
      </x:c>
      <x:c r="F191" s="21">
        <x:f t="shared" si="32"/>
        <x:v>0</x:v>
      </x:c>
      <x:c r="G191" s="15"/>
      <x:c r="H191" s="21">
        <x:f t="shared" si="33"/>
        <x:v>0</x:v>
      </x:c>
      <x:c r="I191" s="14" t="str">
        <x:v>Gépészet</x:v>
      </x:c>
      <x:c r="J191" s="14" t="str">
        <x:v>1 per folyadékhűtő — előremenő és visszatérő</x:v>
      </x:c>
    </x:row>
    <x:row r="192">
      <x:c r="A192" s="13"/>
      <x:c r="B192" s="14" t="s">
        <x:v>191</x:v>
      </x:c>
      <x:c r="C192" s="12" t="str">
        <x:v>klt.</x:v>
      </x:c>
      <x:c r="D192" s="20">
        <x:v>5.0000000000000001E-3</x:v>
      </x:c>
      <x:c r="E192" s="21">
        <x:f t="shared" si="34"/>
        <x:v>0</x:v>
      </x:c>
      <x:c r="F192" s="21">
        <x:f t="shared" si="32"/>
        <x:v>0</x:v>
      </x:c>
      <x:c r="G192" s="15"/>
      <x:c r="H192" s="21">
        <x:f t="shared" si="33"/>
        <x:v>0</x:v>
      </x:c>
      <x:c r="I192" s="14" t="str">
        <x:v>BMS épületfelügyelet</x:v>
      </x:c>
      <x:c r="J192" s="14" t="str">
        <x:v>1 per folyadékhűtő</x:v>
      </x:c>
    </x:row>
    <x:row r="193">
      <x:c r="A193" s="13"/>
      <x:c r="B193" s="14" t="str">
        <x:v>cső szigetelés - headers</x:v>
      </x:c>
      <x:c r="C193" s="12" t="str">
        <x:v>klt.</x:v>
      </x:c>
      <x:c r="D193" s="20">
        <x:v>5.0000000000000001E-3</x:v>
      </x:c>
      <x:c r="E193" s="21">
        <x:f t="shared" si="34"/>
        <x:v>0</x:v>
      </x:c>
      <x:c r="F193" s="21">
        <x:f t="shared" si="32"/>
        <x:v>0</x:v>
      </x:c>
      <x:c r="G193" s="15"/>
      <x:c r="H193" s="21">
        <x:f t="shared" si="33"/>
        <x:v>0</x:v>
      </x:c>
      <x:c r="I193" s="14" t="str">
        <x:v>Gépészet</x:v>
      </x:c>
      <x:c r="J193" s="14" t="str">
        <x:v>1 lump per folyadékhűtő</x:v>
      </x:c>
    </x:row>
    <x:row r="194">
      <x:c r="A194" s="13"/>
      <x:c r="B194" s="14" t="str">
        <x:v>csepptálca &amp; táblázás</x:v>
      </x:c>
      <x:c r="C194" s="12" t="str">
        <x:v>klt.</x:v>
      </x:c>
      <x:c r="D194" s="20">
        <x:v>5.0000000000000001E-3</x:v>
      </x:c>
      <x:c r="E194" s="21">
        <x:f t="shared" si="34"/>
        <x:v>0</x:v>
      </x:c>
      <x:c r="F194" s="21">
        <x:f t="shared" si="32"/>
        <x:v>0</x:v>
      </x:c>
      <x:c r="G194" s="15"/>
      <x:c r="H194" s="21">
        <x:f t="shared" si="33"/>
        <x:v>0</x:v>
      </x:c>
      <x:c r="I194" s="14" t="str">
        <x:v>Gépészet</x:v>
      </x:c>
      <x:c r="J194" s="14"/>
    </x:row>
    <x:row r="195">
      <x:c r="A195" s="13"/>
      <x:c r="B195" s="14" t="s">
        <x:v>181</x:v>
      </x:c>
      <x:c r="C195" s="12" t="str">
        <x:v>óra</x:v>
      </x:c>
      <x:c r="D195" s="20">
        <x:v>0.08</x:v>
      </x:c>
      <x:c r="E195" s="21">
        <x:f t="shared" si="34"/>
        <x:v>0</x:v>
      </x:c>
      <x:c r="F195" s="21">
        <x:f t="shared" si="32"/>
        <x:v>0</x:v>
      </x:c>
      <x:c r="G195" s="15"/>
      <x:c r="H195" s="21">
        <x:f t="shared" si="33"/>
        <x:v>0</x:v>
      </x:c>
      <x:c r="I195" s="14" t="str">
        <x:v>Munkaerő</x:v>
      </x:c>
      <x:c r="J195" s="14" t="s">
        <x:v>192</x:v>
      </x:c>
    </x:row>
    <x:row r="196">
      <x:c r="A196" s="13"/>
      <x:c r="B196" s="14" t="s">
        <x:v>193</x:v>
      </x:c>
      <x:c r="C196" s="12" t="str">
        <x:v>óra</x:v>
      </x:c>
      <x:c r="D196" s="20">
        <x:v>0.06</x:v>
      </x:c>
      <x:c r="E196" s="21">
        <x:f t="shared" si="34"/>
        <x:v>0</x:v>
      </x:c>
      <x:c r="F196" s="21">
        <x:f t="shared" si="32"/>
        <x:v>0</x:v>
      </x:c>
      <x:c r="G196" s="15"/>
      <x:c r="H196" s="21">
        <x:f t="shared" si="33"/>
        <x:v>0</x:v>
      </x:c>
      <x:c r="I196" s="14" t="str">
        <x:v>Munkaerő</x:v>
      </x:c>
      <x:c r="J196" s="14" t="s">
        <x:v>194</x:v>
      </x:c>
    </x:row>
    <x:row r="197">
      <x:c r="A197" s="13"/>
      <x:c r="B197" s="14" t="s">
        <x:v>195</x:v>
      </x:c>
      <x:c r="C197" s="12" t="str">
        <x:v>óra</x:v>
      </x:c>
      <x:c r="D197" s="20">
        <x:v>0.12</x:v>
      </x:c>
      <x:c r="E197" s="21">
        <x:f t="shared" si="34"/>
        <x:v>0</x:v>
      </x:c>
      <x:c r="F197" s="21">
        <x:f t="shared" si="32"/>
        <x:v>0</x:v>
      </x:c>
      <x:c r="G197" s="15"/>
      <x:c r="H197" s="21">
        <x:f t="shared" si="33"/>
        <x:v>0</x:v>
      </x:c>
      <x:c r="I197" s="14" t="str">
        <x:v>Munkaerő</x:v>
      </x:c>
      <x:c r="J197" s="14"/>
    </x:row>
    <x:row r="198">
      <x:c r="A198" s="13"/>
      <x:c r="B198" s="14" t="s">
        <x:v>117</x:v>
      </x:c>
      <x:c r="C198" s="12" t="str">
        <x:v>óra</x:v>
      </x:c>
      <x:c r="D198" s="20">
        <x:v>0.08</x:v>
      </x:c>
      <x:c r="E198" s="21">
        <x:f t="shared" si="34"/>
        <x:v>0</x:v>
      </x:c>
      <x:c r="F198" s="21">
        <x:f t="shared" si="32"/>
        <x:v>0</x:v>
      </x:c>
      <x:c r="G198" s="15"/>
      <x:c r="H198" s="21">
        <x:f t="shared" si="33"/>
        <x:v>0</x:v>
      </x:c>
      <x:c r="I198" s="14" t="str">
        <x:v>Munkaerő</x:v>
      </x:c>
      <x:c r="J198" s="14"/>
    </x:row>
    <x:row r="199">
      <x:c r="A199" s="13"/>
      <x:c r="B199" s="14" t="s">
        <x:v>118</x:v>
      </x:c>
      <x:c r="C199" s="12" t="str">
        <x:v>óra</x:v>
      </x:c>
      <x:c r="D199" s="20">
        <x:v>0.08</x:v>
      </x:c>
      <x:c r="E199" s="21">
        <x:f t="shared" si="34"/>
        <x:v>0</x:v>
      </x:c>
      <x:c r="F199" s="21">
        <x:f t="shared" si="32"/>
        <x:v>0</x:v>
      </x:c>
      <x:c r="G199" s="15"/>
      <x:c r="H199" s="21">
        <x:f t="shared" si="33"/>
        <x:v>0</x:v>
      </x:c>
      <x:c r="I199" s="14" t="str">
        <x:v>Munkaerő</x:v>
      </x:c>
      <x:c r="J199" s="14" t="str">
        <x:v>magas-current power feed</x:v>
      </x:c>
    </x:row>
    <x:row r="200">
      <x:c r="A200" s="13"/>
      <x:c r="B200" s="14" t="s">
        <x:v>196</x:v>
      </x:c>
      <x:c r="C200" s="12" t="str">
        <x:v>óra</x:v>
      </x:c>
      <x:c r="D200" s="20">
        <x:v>0.04</x:v>
      </x:c>
      <x:c r="E200" s="21">
        <x:f t="shared" si="34"/>
        <x:v>0</x:v>
      </x:c>
      <x:c r="F200" s="21">
        <x:f t="shared" si="32"/>
        <x:v>0</x:v>
      </x:c>
      <x:c r="G200" s="15"/>
      <x:c r="H200" s="21">
        <x:f t="shared" si="33"/>
        <x:v>0</x:v>
      </x:c>
      <x:c r="I200" s="14" t="str">
        <x:v>Munkaerő</x:v>
      </x:c>
      <x:c r="J200" s="14"/>
    </x:row>
    <x:row r="201">
      <x:c r="A201" s="13"/>
      <x:c r="B201" s="14" t="s">
        <x:v>197</x:v>
      </x:c>
      <x:c r="C201" s="12" t="str">
        <x:v>óra</x:v>
      </x:c>
      <x:c r="D201" s="20">
        <x:v>0.08</x:v>
      </x:c>
      <x:c r="E201" s="21">
        <x:f t="shared" si="34"/>
        <x:v>0</x:v>
      </x:c>
      <x:c r="F201" s="21">
        <x:f t="shared" si="32"/>
        <x:v>0</x:v>
      </x:c>
      <x:c r="G201" s="15"/>
      <x:c r="H201" s="21">
        <x:f t="shared" si="33"/>
        <x:v>0</x:v>
      </x:c>
      <x:c r="I201" s="14" t="str">
        <x:v>Munkaerő</x:v>
      </x:c>
      <x:c r="J201" s="14" t="str">
        <x:v>Start-up, víz-side</x:v>
      </x:c>
    </x:row>
    <x:row r="202">
      <x:c r="A202" s="13"/>
      <x:c r="B202" s="14" t="str">
        <x:v>Crane (50t) - folyadékhűtő lift</x:v>
      </x:c>
      <x:c r="C202" s="12" t="str">
        <x:v>óra</x:v>
      </x:c>
      <x:c r="D202" s="20">
        <x:v>0.04</x:v>
      </x:c>
      <x:c r="E202" s="21">
        <x:f t="shared" si="34"/>
        <x:v>0</x:v>
      </x:c>
      <x:c r="F202" s="21">
        <x:f t="shared" si="32"/>
        <x:v>0</x:v>
      </x:c>
      <x:c r="G202" s="15"/>
      <x:c r="H202" s="21">
        <x:f t="shared" si="33"/>
        <x:v>0</x:v>
      </x:c>
      <x:c r="I202" s="14" t="str">
        <x:v>Gép</x:v>
      </x:c>
      <x:c r="J202" s="14" t="s">
        <x:v>198</x:v>
      </x:c>
    </x:row>
    <x:row r="203">
      <x:c r="A203" s="13"/>
      <x:c r="B203" s="14" t="str">
        <x:v>Boom lift (header szerelés)</x:v>
      </x:c>
      <x:c r="C203" s="12" t="str">
        <x:v>óra</x:v>
      </x:c>
      <x:c r="D203" s="20">
        <x:v>0.12</x:v>
      </x:c>
      <x:c r="E203" s="21">
        <x:f t="shared" si="34"/>
        <x:v>0</x:v>
      </x:c>
      <x:c r="F203" s="21">
        <x:f t="shared" si="32"/>
        <x:v>0</x:v>
      </x:c>
      <x:c r="G203" s="15"/>
      <x:c r="H203" s="21">
        <x:f t="shared" si="33"/>
        <x:v>0</x:v>
      </x:c>
      <x:c r="I203" s="14" t="str">
        <x:v>Gép</x:v>
      </x:c>
      <x:c r="J203" s="14"/>
    </x:row>
    <x:row r="204">
      <x:c r="A204" s="22"/>
      <x:c r="B204" s="23" t="s">
        <x:v>199</x:v>
      </x:c>
      <x:c r="C204" s="22"/>
      <x:c r="D204" s="22"/>
      <x:c r="E204" s="22"/>
      <x:c r="F204" s="22"/>
      <x:c r="G204" s="22"/>
      <x:c r="H204" s="24" t="n">
        <x:f>SUM(H188:H203)</x:f>
        <x:v>0</x:v>
      </x:c>
      <x:c r="I204" s="22"/>
      <x:c r="J204" s="22"/>
    </x:row>
    <x:row r="206">
      <x:c r="J206" s="17" t="s">
        <x:v>200</x:v>
      </x:c>
    </x:row>
    <x:row r="207">
      <x:c r="A207" s="18" t="s">
        <x:v>113</x:v>
      </x:c>
      <x:c r="B207" s="19" t="str">
        <x:v>BMS szabályozó / DDC vezérlőpanel</x:v>
      </x:c>
      <x:c r="C207" s="12" t="str">
        <x:v>db</x:v>
      </x:c>
      <x:c r="D207" s="20">
        <x:v>1</x:v>
      </x:c>
      <x:c r="E207" s="16" t="n">
        <x:f>'HVAC QTO'!M102</x:f>
        <x:v>0</x:v>
      </x:c>
      <x:c r="F207" s="21" t="n">
        <x:f t="shared" ref="F207:F221" si="35">D207*E207</x:f>
        <x:v>0</x:v>
      </x:c>
      <x:c r="G207" s="15"/>
      <x:c r="H207" s="21" t="n">
        <x:f t="shared" ref="H207:H221" si="36">F207*G207</x:f>
        <x:v>0</x:v>
      </x:c>
      <x:c r="I207" s="14" t="str">
        <x:v>Gépészet</x:v>
      </x:c>
      <x:c r="J207" s="14" t="str">
        <x:v>csak anyagellátás</x:v>
      </x:c>
    </x:row>
    <x:row r="208">
      <x:c r="A208" s="13"/>
      <x:c r="B208" s="14" t="str">
        <x:v>DDC vezérlőpanel burkolat / szekrény</x:v>
      </x:c>
      <x:c r="C208" s="12" t="str">
        <x:v>db</x:v>
      </x:c>
      <x:c r="D208" s="20">
        <x:v>1</x:v>
      </x:c>
      <x:c r="E208" s="21" t="n">
        <x:f t="shared" ref="E208:E221" si="37">E$207</x:f>
        <x:v>0</x:v>
      </x:c>
      <x:c r="F208" s="21">
        <x:f t="shared" si="35"/>
        <x:v>0</x:v>
      </x:c>
      <x:c r="G208" s="15"/>
      <x:c r="H208" s="21">
        <x:f t="shared" si="36"/>
        <x:v>0</x:v>
      </x:c>
      <x:c r="I208" s="14" t="str">
        <x:v>BMS épületfelügyelet</x:v>
      </x:c>
      <x:c r="J208" s="14" t="str">
        <x:v>tartalmazza mounting hardware</x:v>
      </x:c>
    </x:row>
    <x:row r="209">
      <x:c r="A209" s="13"/>
      <x:c r="B209" s="14" t="str">
        <x:v>Power befúvás / transformer</x:v>
      </x:c>
      <x:c r="C209" s="12" t="str">
        <x:v>db</x:v>
      </x:c>
      <x:c r="D209" s="20">
        <x:v>1</x:v>
      </x:c>
      <x:c r="E209" s="21">
        <x:f t="shared" si="37"/>
        <x:v>0</x:v>
      </x:c>
      <x:c r="F209" s="21">
        <x:f t="shared" si="35"/>
        <x:v>0</x:v>
      </x:c>
      <x:c r="G209" s="15"/>
      <x:c r="H209" s="21">
        <x:f t="shared" si="36"/>
        <x:v>0</x:v>
      </x:c>
      <x:c r="I209" s="14" t="str">
        <x:v>BMS épületfelügyelet</x:v>
      </x:c>
      <x:c r="J209" s="14"/>
    </x:row>
    <x:row r="210">
      <x:c r="A210" s="13"/>
      <x:c r="B210" s="14" t="s">
        <x:v>201</x:v>
      </x:c>
      <x:c r="C210" s="12" t="str">
        <x:v>db</x:v>
      </x:c>
      <x:c r="D210" s="20">
        <x:v>2</x:v>
      </x:c>
      <x:c r="E210" s="21">
        <x:f t="shared" si="37"/>
        <x:v>0</x:v>
      </x:c>
      <x:c r="F210" s="21">
        <x:f t="shared" si="35"/>
        <x:v>0</x:v>
      </x:c>
      <x:c r="G210" s="15"/>
      <x:c r="H210" s="21">
        <x:f t="shared" si="36"/>
        <x:v>0</x:v>
      </x:c>
      <x:c r="I210" s="14" t="str">
        <x:v>BMS épületfelügyelet</x:v>
      </x:c>
      <x:c r="J210" s="14" t="str">
        <x:v>átlagos config</x:v>
      </x:c>
    </x:row>
    <x:row r="211">
      <x:c r="A211" s="13"/>
      <x:c r="B211" s="14" t="s">
        <x:v>202</x:v>
      </x:c>
      <x:c r="C211" s="12" t="str">
        <x:v>db</x:v>
      </x:c>
      <x:c r="D211" s="20">
        <x:v>2</x:v>
      </x:c>
      <x:c r="E211" s="21">
        <x:f t="shared" si="37"/>
        <x:v>0</x:v>
      </x:c>
      <x:c r="F211" s="21">
        <x:f t="shared" si="35"/>
        <x:v>0</x:v>
      </x:c>
      <x:c r="G211" s="15"/>
      <x:c r="H211" s="21">
        <x:f t="shared" si="36"/>
        <x:v>0</x:v>
      </x:c>
      <x:c r="I211" s="14" t="str">
        <x:v>BMS épületfelügyelet</x:v>
      </x:c>
      <x:c r="J211" s="14"/>
    </x:row>
    <x:row r="212">
      <x:c r="A212" s="13"/>
      <x:c r="B212" s="14" t="s">
        <x:v>203</x:v>
      </x:c>
      <x:c r="C212" s="12" t="str">
        <x:v>db</x:v>
      </x:c>
      <x:c r="D212" s="20">
        <x:v>2</x:v>
      </x:c>
      <x:c r="E212" s="21">
        <x:f t="shared" si="37"/>
        <x:v>0</x:v>
      </x:c>
      <x:c r="F212" s="21">
        <x:f t="shared" si="35"/>
        <x:v>0</x:v>
      </x:c>
      <x:c r="G212" s="15"/>
      <x:c r="H212" s="21">
        <x:f t="shared" si="36"/>
        <x:v>0</x:v>
      </x:c>
      <x:c r="I212" s="14" t="str">
        <x:v>BMS épületfelügyelet</x:v>
      </x:c>
      <x:c r="J212" s="14"/>
    </x:row>
    <x:row r="213">
      <x:c r="A213" s="13"/>
      <x:c r="B213" s="14" t="s">
        <x:v>204</x:v>
      </x:c>
      <x:c r="C213" s="12" t="str">
        <x:v>db</x:v>
      </x:c>
      <x:c r="D213" s="20">
        <x:v>2</x:v>
      </x:c>
      <x:c r="E213" s="21">
        <x:f t="shared" si="37"/>
        <x:v>0</x:v>
      </x:c>
      <x:c r="F213" s="21">
        <x:f t="shared" si="35"/>
        <x:v>0</x:v>
      </x:c>
      <x:c r="G213" s="15"/>
      <x:c r="H213" s="21">
        <x:f t="shared" si="36"/>
        <x:v>0</x:v>
      </x:c>
      <x:c r="I213" s="14" t="str">
        <x:v>BMS épületfelügyelet</x:v>
      </x:c>
      <x:c r="J213" s="14"/>
    </x:row>
    <x:row r="214">
      <x:c r="A214" s="13"/>
      <x:c r="B214" s="14" t="str">
        <x:v>Network kábel (BACnet/Modbus)</x:v>
      </x:c>
      <x:c r="C214" s="12" t="str">
        <x:v>fm</x:v>
      </x:c>
      <x:c r="D214" s="20">
        <x:v>25</x:v>
      </x:c>
      <x:c r="E214" s="21">
        <x:f t="shared" si="37"/>
        <x:v>0</x:v>
      </x:c>
      <x:c r="F214" s="21">
        <x:f t="shared" si="35"/>
        <x:v>0</x:v>
      </x:c>
      <x:c r="G214" s="15"/>
      <x:c r="H214" s="21">
        <x:f t="shared" si="36"/>
        <x:v>0</x:v>
      </x:c>
      <x:c r="I214" s="14" t="str">
        <x:v>BMS épületfelügyelet</x:v>
      </x:c>
      <x:c r="J214" s="14" t="s">
        <x:v>205</x:v>
      </x:c>
    </x:row>
    <x:row r="215">
      <x:c r="A215" s="13"/>
      <x:c r="B215" s="14" t="str">
        <x:v>Power kábel (240V befúvás)</x:v>
      </x:c>
      <x:c r="C215" s="12" t="str">
        <x:v>fm</x:v>
      </x:c>
      <x:c r="D215" s="20">
        <x:v>15</x:v>
      </x:c>
      <x:c r="E215" s="21">
        <x:f t="shared" si="37"/>
        <x:v>0</x:v>
      </x:c>
      <x:c r="F215" s="21">
        <x:f t="shared" si="35"/>
        <x:v>0</x:v>
      </x:c>
      <x:c r="G215" s="15"/>
      <x:c r="H215" s="21">
        <x:f t="shared" si="36"/>
        <x:v>0</x:v>
      </x:c>
      <x:c r="I215" s="14" t="str">
        <x:v>Elektromos</x:v>
      </x:c>
      <x:c r="J215" s="14" t="s">
        <x:v>114</x:v>
      </x:c>
    </x:row>
    <x:row r="216">
      <x:c r="A216" s="13"/>
      <x:c r="B216" s="14" t="str">
        <x:v>kábel gland &amp; lezárás materials</x:v>
      </x:c>
      <x:c r="C216" s="12" t="str">
        <x:v>klt.</x:v>
      </x:c>
      <x:c r="D216" s="20">
        <x:v>1</x:v>
      </x:c>
      <x:c r="E216" s="21">
        <x:f t="shared" si="37"/>
        <x:v>0</x:v>
      </x:c>
      <x:c r="F216" s="21">
        <x:f t="shared" si="35"/>
        <x:v>0</x:v>
      </x:c>
      <x:c r="G216" s="15"/>
      <x:c r="H216" s="21">
        <x:f t="shared" si="36"/>
        <x:v>0</x:v>
      </x:c>
      <x:c r="I216" s="14" t="str">
        <x:v>BMS épületfelügyelet</x:v>
      </x:c>
      <x:c r="J216" s="14"/>
    </x:row>
    <x:row r="217">
      <x:c r="A217" s="13"/>
      <x:c r="B217" s="14" t="s">
        <x:v>206</x:v>
      </x:c>
      <x:c r="C217" s="12" t="str">
        <x:v>klt.</x:v>
      </x:c>
      <x:c r="D217" s="20">
        <x:v>1</x:v>
      </x:c>
      <x:c r="E217" s="21">
        <x:f t="shared" si="37"/>
        <x:v>0</x:v>
      </x:c>
      <x:c r="F217" s="21">
        <x:f t="shared" si="35"/>
        <x:v>0</x:v>
      </x:c>
      <x:c r="G217" s="15"/>
      <x:c r="H217" s="21">
        <x:f t="shared" si="36"/>
        <x:v>0</x:v>
      </x:c>
      <x:c r="I217" s="14" t="str">
        <x:v>BMS épületfelügyelet</x:v>
      </x:c>
      <x:c r="J217" s="14"/>
    </x:row>
    <x:row r="218">
      <x:c r="A218" s="13"/>
      <x:c r="B218" s="14" t="str">
        <x:v>Labour - BMS technician szerelés</x:v>
      </x:c>
      <x:c r="C218" s="12" t="str">
        <x:v>óra</x:v>
      </x:c>
      <x:c r="D218" s="20">
        <x:v>4</x:v>
      </x:c>
      <x:c r="E218" s="21">
        <x:f t="shared" si="37"/>
        <x:v>0</x:v>
      </x:c>
      <x:c r="F218" s="21">
        <x:f t="shared" si="35"/>
        <x:v>0</x:v>
      </x:c>
      <x:c r="G218" s="15"/>
      <x:c r="H218" s="21">
        <x:f t="shared" si="36"/>
        <x:v>0</x:v>
      </x:c>
      <x:c r="I218" s="14" t="str">
        <x:v>Munkaerő</x:v>
      </x:c>
      <x:c r="J218" s="14" t="s">
        <x:v>207</x:v>
      </x:c>
    </x:row>
    <x:row r="219">
      <x:c r="A219" s="13"/>
      <x:c r="B219" s="14" t="s">
        <x:v>208</x:v>
      </x:c>
      <x:c r="C219" s="12" t="str">
        <x:v>óra</x:v>
      </x:c>
      <x:c r="D219" s="20">
        <x:v>8</x:v>
      </x:c>
      <x:c r="E219" s="21">
        <x:f t="shared" si="37"/>
        <x:v>0</x:v>
      </x:c>
      <x:c r="F219" s="21">
        <x:f t="shared" si="35"/>
        <x:v>0</x:v>
      </x:c>
      <x:c r="G219" s="15"/>
      <x:c r="H219" s="21">
        <x:f t="shared" si="36"/>
        <x:v>0</x:v>
      </x:c>
      <x:c r="I219" s="14" t="str">
        <x:v>Munkaerő</x:v>
      </x:c>
      <x:c r="J219" s="14" t="s">
        <x:v>209</x:v>
      </x:c>
    </x:row>
    <x:row r="220">
      <x:c r="A220" s="13"/>
      <x:c r="B220" s="14" t="s">
        <x:v>210</x:v>
      </x:c>
      <x:c r="C220" s="12" t="str">
        <x:v>óra</x:v>
      </x:c>
      <x:c r="D220" s="20">
        <x:v>4</x:v>
      </x:c>
      <x:c r="E220" s="21">
        <x:f t="shared" si="37"/>
        <x:v>0</x:v>
      </x:c>
      <x:c r="F220" s="21">
        <x:f t="shared" si="35"/>
        <x:v>0</x:v>
      </x:c>
      <x:c r="G220" s="15"/>
      <x:c r="H220" s="21">
        <x:f t="shared" si="36"/>
        <x:v>0</x:v>
      </x:c>
      <x:c r="I220" s="14" t="str">
        <x:v>Munkaerő</x:v>
      </x:c>
      <x:c r="J220" s="14" t="str">
        <x:v>Point---point sign-off</x:v>
      </x:c>
    </x:row>
    <x:row r="221">
      <x:c r="A221" s="13"/>
      <x:c r="B221" s="14" t="s">
        <x:v>211</x:v>
      </x:c>
      <x:c r="C221" s="12" t="str">
        <x:v>óra</x:v>
      </x:c>
      <x:c r="D221" s="20">
        <x:v>1</x:v>
      </x:c>
      <x:c r="E221" s="21">
        <x:f t="shared" si="37"/>
        <x:v>0</x:v>
      </x:c>
      <x:c r="F221" s="21">
        <x:f t="shared" si="35"/>
        <x:v>0</x:v>
      </x:c>
      <x:c r="G221" s="15"/>
      <x:c r="H221" s="21">
        <x:f t="shared" si="36"/>
        <x:v>0</x:v>
      </x:c>
      <x:c r="I221" s="14" t="str">
        <x:v>Munkaerő</x:v>
      </x:c>
      <x:c r="J221" s="14"/>
    </x:row>
    <x:row r="222">
      <x:c r="A222" s="22"/>
      <x:c r="B222" s="23" t="s">
        <x:v>212</x:v>
      </x:c>
      <x:c r="C222" s="22"/>
      <x:c r="D222" s="22"/>
      <x:c r="E222" s="22"/>
      <x:c r="F222" s="22"/>
      <x:c r="G222" s="22"/>
      <x:c r="H222" s="24" t="n">
        <x:f>SUM(H207:H221)</x:f>
        <x:v>0</x:v>
      </x:c>
      <x:c r="I222" s="22"/>
      <x:c r="J222" s="22"/>
    </x:row>
    <x:row r="224">
      <x:c r="J224" s="17" t="s">
        <x:v>213</x:v>
      </x:c>
    </x:row>
    <x:row r="225">
      <x:c r="A225" s="18" t="s">
        <x:v>113</x:v>
      </x:c>
      <x:c r="B225" s="19" t="str">
        <x:v>BMS érzékelő - hőmérséklet</x:v>
      </x:c>
      <x:c r="C225" s="12" t="str">
        <x:v>db</x:v>
      </x:c>
      <x:c r="D225" s="20">
        <x:v>1</x:v>
      </x:c>
      <x:c r="E225" s="16" t="n">
        <x:f>'HVAC QTO'!M103</x:f>
        <x:v>0</x:v>
      </x:c>
      <x:c r="F225" s="21" t="n">
        <x:f t="shared" ref="F225:F234" si="38">D225*E225</x:f>
        <x:v>0</x:v>
      </x:c>
      <x:c r="G225" s="15"/>
      <x:c r="H225" s="21" t="n">
        <x:f t="shared" ref="H225:H234" si="39">F225*G225</x:f>
        <x:v>0</x:v>
      </x:c>
      <x:c r="I225" s="14" t="str">
        <x:v>Gépészet</x:v>
      </x:c>
      <x:c r="J225" s="14" t="str">
        <x:v>csak anyagellátás</x:v>
      </x:c>
    </x:row>
    <x:row r="226">
      <x:c r="A226" s="13"/>
      <x:c r="B226" s="14" t="str">
        <x:v>érzékelő (légcsatorna / merülő / strap-rétegen)</x:v>
      </x:c>
      <x:c r="C226" s="12" t="str">
        <x:v>db</x:v>
      </x:c>
      <x:c r="D226" s="20">
        <x:v>1</x:v>
      </x:c>
      <x:c r="E226" s="21" t="n">
        <x:f t="shared" ref="E226:E234" si="40">E$225</x:f>
        <x:v>0</x:v>
      </x:c>
      <x:c r="F226" s="21">
        <x:f t="shared" si="38"/>
        <x:v>0</x:v>
      </x:c>
      <x:c r="G226" s="15"/>
      <x:c r="H226" s="21">
        <x:f t="shared" si="39"/>
        <x:v>0</x:v>
      </x:c>
      <x:c r="I226" s="14" t="str">
        <x:v>BMS épületfelügyelet</x:v>
      </x:c>
      <x:c r="J226" s="14" t="s">
        <x:v>214</x:v>
      </x:c>
    </x:row>
    <x:row r="227">
      <x:c r="A227" s="13"/>
      <x:c r="B227" s="14" t="str">
        <x:v>érzékelő pocket / well (if merülő)</x:v>
      </x:c>
      <x:c r="C227" s="12" t="str">
        <x:v>db</x:v>
      </x:c>
      <x:c r="D227" s="20">
        <x:v>0.3</x:v>
      </x:c>
      <x:c r="E227" s="21">
        <x:f t="shared" si="40"/>
        <x:v>0</x:v>
      </x:c>
      <x:c r="F227" s="21">
        <x:f t="shared" si="38"/>
        <x:v>0</x:v>
      </x:c>
      <x:c r="G227" s="15"/>
      <x:c r="H227" s="21">
        <x:f t="shared" si="39"/>
        <x:v>0</x:v>
      </x:c>
      <x:c r="I227" s="14" t="str">
        <x:v>BMS épületfelügyelet</x:v>
      </x:c>
      <x:c r="J227" s="14" t="str">
        <x:v>~30% are merülő type</x:v>
      </x:c>
    </x:row>
    <x:row r="228">
      <x:c r="A228" s="13"/>
      <x:c r="B228" s="14" t="str">
        <x:v>rögzítő konzol / rögzítőelemek</x:v>
      </x:c>
      <x:c r="C228" s="12" t="str">
        <x:v>klt.</x:v>
      </x:c>
      <x:c r="D228" s="20">
        <x:v>1</x:v>
      </x:c>
      <x:c r="E228" s="21">
        <x:f t="shared" si="40"/>
        <x:v>0</x:v>
      </x:c>
      <x:c r="F228" s="21">
        <x:f t="shared" si="38"/>
        <x:v>0</x:v>
      </x:c>
      <x:c r="G228" s="15"/>
      <x:c r="H228" s="21">
        <x:f t="shared" si="39"/>
        <x:v>0</x:v>
      </x:c>
      <x:c r="I228" s="14" t="str">
        <x:v>BMS épületfelügyelet</x:v>
      </x:c>
      <x:c r="J228" s="14"/>
    </x:row>
    <x:row r="229">
      <x:c r="A229" s="13"/>
      <x:c r="B229" s="14" t="str">
        <x:v>Control kábel (screened twisted pair)</x:v>
      </x:c>
      <x:c r="C229" s="12" t="str">
        <x:v>fm</x:v>
      </x:c>
      <x:c r="D229" s="20">
        <x:v>20</x:v>
      </x:c>
      <x:c r="E229" s="21">
        <x:f t="shared" si="40"/>
        <x:v>0</x:v>
      </x:c>
      <x:c r="F229" s="21">
        <x:f t="shared" si="38"/>
        <x:v>0</x:v>
      </x:c>
      <x:c r="G229" s="15"/>
      <x:c r="H229" s="21">
        <x:f t="shared" si="39"/>
        <x:v>0</x:v>
      </x:c>
      <x:c r="I229" s="14" t="str">
        <x:v>BMS épületfelügyelet</x:v>
      </x:c>
      <x:c r="J229" s="14" t="str">
        <x:v>átlagos run - szabályozó</x:v>
      </x:c>
    </x:row>
    <x:row r="230">
      <x:c r="A230" s="13"/>
      <x:c r="B230" s="14" t="str">
        <x:v>kábeltálca / containment - share</x:v>
      </x:c>
      <x:c r="C230" s="12" t="str">
        <x:v>fm</x:v>
      </x:c>
      <x:c r="D230" s="20">
        <x:v>0.5</x:v>
      </x:c>
      <x:c r="E230" s="21">
        <x:f t="shared" si="40"/>
        <x:v>0</x:v>
      </x:c>
      <x:c r="F230" s="21">
        <x:f t="shared" si="38"/>
        <x:v>0</x:v>
      </x:c>
      <x:c r="G230" s="15"/>
      <x:c r="H230" s="21">
        <x:f t="shared" si="39"/>
        <x:v>0</x:v>
      </x:c>
      <x:c r="I230" s="14" t="str">
        <x:v>BMS épületfelügyelet</x:v>
      </x:c>
      <x:c r="J230" s="14" t="str">
        <x:v>arányosítva share</x:v>
      </x:c>
    </x:row>
    <x:row r="231">
      <x:c r="A231" s="13"/>
      <x:c r="B231" s="14" t="str">
        <x:v>lezárás materials (boxes, glands, labels)</x:v>
      </x:c>
      <x:c r="C231" s="12" t="str">
        <x:v>klt.</x:v>
      </x:c>
      <x:c r="D231" s="20">
        <x:v>1</x:v>
      </x:c>
      <x:c r="E231" s="21">
        <x:f t="shared" si="40"/>
        <x:v>0</x:v>
      </x:c>
      <x:c r="F231" s="21">
        <x:f t="shared" si="38"/>
        <x:v>0</x:v>
      </x:c>
      <x:c r="G231" s="15"/>
      <x:c r="H231" s="21">
        <x:f t="shared" si="39"/>
        <x:v>0</x:v>
      </x:c>
      <x:c r="I231" s="14" t="str">
        <x:v>BMS épületfelügyelet</x:v>
      </x:c>
      <x:c r="J231" s="14"/>
    </x:row>
    <x:row r="232">
      <x:c r="A232" s="13"/>
      <x:c r="B232" s="14" t="str">
        <x:v>Labour - electrician (kábel pull/term)</x:v>
      </x:c>
      <x:c r="C232" s="12" t="str">
        <x:v>óra</x:v>
      </x:c>
      <x:c r="D232" s="20">
        <x:v>1</x:v>
      </x:c>
      <x:c r="E232" s="21">
        <x:f t="shared" si="40"/>
        <x:v>0</x:v>
      </x:c>
      <x:c r="F232" s="21">
        <x:f t="shared" si="38"/>
        <x:v>0</x:v>
      </x:c>
      <x:c r="G232" s="15"/>
      <x:c r="H232" s="21">
        <x:f t="shared" si="39"/>
        <x:v>0</x:v>
      </x:c>
      <x:c r="I232" s="14" t="str">
        <x:v>Munkaerő</x:v>
      </x:c>
      <x:c r="J232" s="14"/>
    </x:row>
    <x:row r="233">
      <x:c r="A233" s="13"/>
      <x:c r="B233" s="14" t="str">
        <x:v>Labour - BMS tech (szerelés &amp; test)</x:v>
      </x:c>
      <x:c r="C233" s="12" t="str">
        <x:v>óra</x:v>
      </x:c>
      <x:c r="D233" s="20">
        <x:v>0.5</x:v>
      </x:c>
      <x:c r="E233" s="21">
        <x:f t="shared" si="40"/>
        <x:v>0</x:v>
      </x:c>
      <x:c r="F233" s="21">
        <x:f t="shared" si="38"/>
        <x:v>0</x:v>
      </x:c>
      <x:c r="G233" s="15"/>
      <x:c r="H233" s="21">
        <x:f t="shared" si="39"/>
        <x:v>0</x:v>
      </x:c>
      <x:c r="I233" s="14" t="str">
        <x:v>Munkaerő</x:v>
      </x:c>
      <x:c r="J233" s="14" t="str">
        <x:v>érzékelő szerelés + P---P</x:v>
      </x:c>
    </x:row>
    <x:row r="234">
      <x:c r="A234" s="13"/>
      <x:c r="B234" s="14" t="s">
        <x:v>126</x:v>
      </x:c>
      <x:c r="C234" s="12" t="str">
        <x:v>óra</x:v>
      </x:c>
      <x:c r="D234" s="20">
        <x:v>0.3</x:v>
      </x:c>
      <x:c r="E234" s="21">
        <x:f t="shared" si="40"/>
        <x:v>0</x:v>
      </x:c>
      <x:c r="F234" s="21">
        <x:f t="shared" si="38"/>
        <x:v>0</x:v>
      </x:c>
      <x:c r="G234" s="15"/>
      <x:c r="H234" s="21">
        <x:f t="shared" si="39"/>
        <x:v>0</x:v>
      </x:c>
      <x:c r="I234" s="14" t="str">
        <x:v>Gép</x:v>
      </x:c>
      <x:c r="J234" s="14"/>
    </x:row>
    <x:row r="235">
      <x:c r="A235" s="22"/>
      <x:c r="B235" s="23" t="s">
        <x:v>215</x:v>
      </x:c>
      <x:c r="C235" s="22"/>
      <x:c r="D235" s="22"/>
      <x:c r="E235" s="22"/>
      <x:c r="F235" s="22"/>
      <x:c r="G235" s="22"/>
      <x:c r="H235" s="24" t="n">
        <x:f>SUM(H225:H234)</x:f>
        <x:v>0</x:v>
      </x:c>
      <x:c r="I235" s="22"/>
      <x:c r="J235" s="22"/>
    </x:row>
    <x:row r="238" ht="21.75" customHeight="1">
      <x:c r="A238" s="4" t="s">
        <x:v>216</x:v>
      </x:c>
      <x:c r="B238" s="4"/>
      <x:c r="C238" s="4"/>
    </x:row>
    <x:row r="239" ht="28.350000381469727" customHeight="1">
      <x:c r="A239" s="24" t="s">
        <x:v>217</x:v>
      </x:c>
      <x:c r="B239" s="3" t="str">
        <x:v>Megnevezés / műszaki leírás</x:v>
      </x:c>
      <x:c r="C239" s="3"/>
      <x:c r="D239" s="3"/>
      <x:c r="E239" s="3"/>
      <x:c r="F239" s="3"/>
      <x:c r="G239" s="3"/>
      <x:c r="H239" s="24" t="s">
        <x:v>218</x:v>
      </x:c>
    </x:row>
    <x:row r="240" ht="15" customHeight="1">
      <x:c r="A240" s="12">
        <x:v>1</x:v>
      </x:c>
      <x:c r="B240" s="2" t="str">
        <x:v>fan-coil — álmennyezetbe süllyesztett</x:v>
      </x:c>
      <x:c r="C240" s="2"/>
      <x:c r="D240" s="2"/>
      <x:c r="E240" s="2"/>
      <x:c r="F240" s="2"/>
      <x:c r="G240" s="2"/>
      <x:c r="H240" s="12" t="n">
        <x:f>H27</x:f>
        <x:v>0</x:v>
      </x:c>
    </x:row>
    <x:row r="241" ht="15" customHeight="1">
      <x:c r="A241" s="12">
        <x:v>2</x:v>
      </x:c>
      <x:c r="B241" s="2" t="str">
        <x:v>fan-coil — légcsatornába épített</x:v>
      </x:c>
      <x:c r="C241" s="2"/>
      <x:c r="D241" s="2"/>
      <x:c r="E241" s="2"/>
      <x:c r="F241" s="2"/>
      <x:c r="G241" s="2"/>
      <x:c r="H241" s="12" t="n">
        <x:f>H49</x:f>
        <x:v>0</x:v>
      </x:c>
    </x:row>
    <x:row r="242" ht="15" customHeight="1">
      <x:c r="A242" s="12">
        <x:v>3</x:v>
      </x:c>
      <x:c r="B242" s="2" t="str">
        <x:v>négyszög keresztmetszetű légcsatorna-hálózat (folyóméterenként)</x:v>
      </x:c>
      <x:c r="C242" s="2"/>
      <x:c r="D242" s="2"/>
      <x:c r="E242" s="2"/>
      <x:c r="F242" s="2"/>
      <x:c r="G242" s="2"/>
      <x:c r="H242" s="12" t="n">
        <x:f>H63</x:f>
        <x:v>0</x:v>
      </x:c>
    </x:row>
    <x:row r="243" ht="15" customHeight="1">
      <x:c r="A243" s="12">
        <x:v>4</x:v>
      </x:c>
      <x:c r="B243" s="2" t="str">
        <x:v>spirálkorcolt légcsatorna-hálózat (folyóméterenként)</x:v>
      </x:c>
      <x:c r="C243" s="2"/>
      <x:c r="D243" s="2"/>
      <x:c r="E243" s="2"/>
      <x:c r="F243" s="2"/>
      <x:c r="G243" s="2"/>
      <x:c r="H243" s="12" t="n">
        <x:f>H78</x:f>
        <x:v>0</x:v>
      </x:c>
    </x:row>
    <x:row r="244" ht="15" customHeight="1">
      <x:c r="A244" s="12">
        <x:v>5</x:v>
      </x:c>
      <x:c r="B244" s="2" t="str">
        <x:v>flexibilis légcsatorna (folyóméterenként)</x:v>
      </x:c>
      <x:c r="C244" s="2"/>
      <x:c r="D244" s="2"/>
      <x:c r="E244" s="2"/>
      <x:c r="F244" s="2"/>
      <x:c r="G244" s="2"/>
      <x:c r="H244" s="12" t="n">
        <x:f>H87</x:f>
        <x:v>0</x:v>
      </x:c>
    </x:row>
    <x:row r="245" ht="15" customHeight="1">
      <x:c r="A245" s="12">
        <x:v>6</x:v>
      </x:c>
      <x:c r="B245" s="2" t="str">
        <x:v>tűzcsappantyú (négyszög keresztmetszetű)</x:v>
      </x:c>
      <x:c r="C245" s="2"/>
      <x:c r="D245" s="2"/>
      <x:c r="E245" s="2"/>
      <x:c r="F245" s="2"/>
      <x:c r="G245" s="2"/>
      <x:c r="H245" s="12" t="n">
        <x:f>H100</x:f>
        <x:v>0</x:v>
      </x:c>
    </x:row>
    <x:row r="246" ht="15" customHeight="1">
      <x:c r="A246" s="12">
        <x:v>7</x:v>
      </x:c>
      <x:c r="B246" s="2" t="str">
        <x:v>mennyezet anemosztát (négyirányú négyzetes)</x:v>
      </x:c>
      <x:c r="C246" s="2"/>
      <x:c r="D246" s="2"/>
      <x:c r="E246" s="2"/>
      <x:c r="F246" s="2"/>
      <x:c r="G246" s="2"/>
      <x:c r="H246" s="12" t="n">
        <x:f>H112</x:f>
        <x:v>0</x:v>
      </x:c>
    </x:row>
    <x:row r="247" ht="15" customHeight="1">
      <x:c r="A247" s="12">
        <x:v>8</x:v>
      </x:c>
      <x:c r="B247" s="2" t="str">
        <x:v>hűtött víz Pipework — réz (folyóméterenként)</x:v>
      </x:c>
      <x:c r="C247" s="2"/>
      <x:c r="D247" s="2"/>
      <x:c r="E247" s="2"/>
      <x:c r="F247" s="2"/>
      <x:c r="G247" s="2"/>
      <x:c r="H247" s="12" t="n">
        <x:f>H130</x:f>
        <x:v>0</x:v>
      </x:c>
    </x:row>
    <x:row r="248" ht="15" customHeight="1">
      <x:c r="A248" s="12">
        <x:v>9</x:v>
      </x:c>
      <x:c r="B248" s="2" t="str">
        <x:v>melegvíz Pipework — acél (folyóméterenként)</x:v>
      </x:c>
      <x:c r="C248" s="2"/>
      <x:c r="D248" s="2"/>
      <x:c r="E248" s="2"/>
      <x:c r="F248" s="2"/>
      <x:c r="G248" s="2"/>
      <x:c r="H248" s="12" t="n">
        <x:f>H148</x:f>
        <x:v>0</x:v>
      </x:c>
    </x:row>
    <x:row r="249" ht="15" customHeight="1">
      <x:c r="A249" s="12">
        <x:v>10</x:v>
      </x:c>
      <x:c r="B249" s="2" t="str">
        <x:v>kondenzvíz-elvezetés — uPVC (folyóméterenként)</x:v>
      </x:c>
      <x:c r="C249" s="2"/>
      <x:c r="D249" s="2"/>
      <x:c r="E249" s="2"/>
      <x:c r="F249" s="2"/>
      <x:c r="G249" s="2"/>
      <x:c r="H249" s="12" t="n">
        <x:f>H161</x:f>
        <x:v>0</x:v>
      </x:c>
    </x:row>
    <x:row r="250" ht="15" customHeight="1">
      <x:c r="A250" s="12">
        <x:v>11</x:v>
      </x:c>
      <x:c r="B250" s="2" t="str">
        <x:v>légkezelő — tetőre telepített kompakt</x:v>
      </x:c>
      <x:c r="C250" s="2"/>
      <x:c r="D250" s="2"/>
      <x:c r="E250" s="2"/>
      <x:c r="F250" s="2"/>
      <x:c r="G250" s="2"/>
      <x:c r="H250" s="12" t="n">
        <x:f>H185</x:f>
        <x:v>0</x:v>
      </x:c>
    </x:row>
    <x:row r="251" ht="15" customHeight="1">
      <x:c r="A251" s="12">
        <x:v>12</x:v>
      </x:c>
      <x:c r="B251" s="2" t="str">
        <x:v>folyadékhűtő — léghűtéses (per kW)</x:v>
      </x:c>
      <x:c r="C251" s="2"/>
      <x:c r="D251" s="2"/>
      <x:c r="E251" s="2"/>
      <x:c r="F251" s="2"/>
      <x:c r="G251" s="2"/>
      <x:c r="H251" s="12" t="n">
        <x:f>H204</x:f>
        <x:v>0</x:v>
      </x:c>
    </x:row>
    <x:row r="252" ht="15" customHeight="1">
      <x:c r="A252" s="12">
        <x:v>13</x:v>
      </x:c>
      <x:c r="B252" s="2" t="str">
        <x:v>BMS szabályozó / DDC vezérlőpanel</x:v>
      </x:c>
      <x:c r="C252" s="2"/>
      <x:c r="D252" s="2"/>
      <x:c r="E252" s="2"/>
      <x:c r="F252" s="2"/>
      <x:c r="G252" s="2"/>
      <x:c r="H252" s="12" t="n">
        <x:f>H222</x:f>
        <x:v>0</x:v>
      </x:c>
    </x:row>
    <x:row r="253" ht="15" customHeight="1">
      <x:c r="A253" s="12">
        <x:v>14</x:v>
      </x:c>
      <x:c r="B253" s="2" t="str">
        <x:v>BMS érzékelő — hőmérséklet</x:v>
      </x:c>
      <x:c r="C253" s="2"/>
      <x:c r="D253" s="2"/>
      <x:c r="E253" s="2"/>
      <x:c r="F253" s="2"/>
      <x:c r="G253" s="2"/>
      <x:c r="H253" s="12" t="n">
        <x:f>H235</x:f>
        <x:v>0</x:v>
      </x:c>
    </x:row>
    <x:row r="254" ht="21.75" customHeight="1">
      <x:c r="A254" s="1" t="s">
        <x:v>219</x:v>
      </x:c>
      <x:c r="B254" s="1"/>
      <x:c r="C254" s="1"/>
      <x:c r="D254" s="1"/>
      <x:c r="E254" s="1"/>
      <x:c r="F254" s="1"/>
      <x:c r="G254" s="1"/>
      <x:c r="H254" s="25" t="n">
        <x:f>H27+H49+H63+H78+H87+H100+H112+H130+H148+H161+H185+H204+H222+H235</x:f>
        <x:v>0</x:v>
      </x:c>
    </x:row>
  </x:sheetData>
  <x:mergeCells>
    <x:mergeCell ref="B251:G251"/>
    <x:mergeCell ref="B252:G252"/>
    <x:mergeCell ref="B253:G253"/>
    <x:mergeCell ref="A254:G254"/>
    <x:mergeCell ref="B246:G246"/>
    <x:mergeCell ref="B247:G247"/>
    <x:mergeCell ref="B248:G248"/>
    <x:mergeCell ref="B249:G249"/>
    <x:mergeCell ref="B250:G250"/>
    <x:mergeCell ref="B241:G241"/>
    <x:mergeCell ref="B242:G242"/>
    <x:mergeCell ref="B243:G243"/>
    <x:mergeCell ref="B244:G244"/>
    <x:mergeCell ref="B245:G245"/>
    <x:mergeCell ref="A1:J1"/>
    <x:mergeCell ref="A2:J2"/>
    <x:mergeCell ref="A238:C238"/>
    <x:mergeCell ref="B239:G239"/>
    <x:mergeCell ref="B240:G240"/>
  </x:mergeCells>
  <x:pageMargins left="0.7" right="0.7" top="0.75" bottom="0.75" header="0.3" footer="0.3"/>
</x:worksheet>
</file>