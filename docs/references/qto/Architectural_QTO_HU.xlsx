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367626ab7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al QTO" sheetId="1" r:id="R2279a484439244f5"/>
    <x:sheet xmlns:r="http://schemas.openxmlformats.org/officeDocument/2006/relationships" name="Assemblies" sheetId="2" r:id="R9e6d050760294a67"/>
    <x:sheet xmlns:r="http://schemas.openxmlformats.org/officeDocument/2006/relationships" name="Legend" sheetId="3" r:id="Re65fc83327db4a3c"/>
  </x:sheets>
</x:workbook>
</file>

<file path=xl/sharedStrings.xml><?xml version="1.0" encoding="utf-8"?>
<x:sst xmlns:x="http://schemas.openxmlformats.org/spreadsheetml/2006/main">
  <x:si>
    <x:t xml:space="preserve">TOTAL
QTY</x:t>
  </x:si>
  <x:si>
    <x:t xml:space="preserve">1.1</x:t>
  </x:si>
  <x:si>
    <x:t xml:space="preserve">1.2</x:t>
  </x:si>
  <x:si>
    <x:t xml:space="preserve">1.3</x:t>
  </x:si>
  <x:si>
    <x:t xml:space="preserve">1.4</x:t>
  </x:si>
  <x:si>
    <x:t xml:space="preserve">3.1</x:t>
  </x:si>
  <x:si>
    <x:t xml:space="preserve">m²</x:t>
  </x:si>
  <x:si>
    <x:t xml:space="preserve">3.2</x:t>
  </x:si>
  <x:si>
    <x:t xml:space="preserve">3.3</x:t>
  </x:si>
  <x:si>
    <x:t xml:space="preserve">Surface treatment over concrete slab</x:t>
  </x:si>
  <x:si>
    <x:t xml:space="preserve">3.4</x:t>
  </x:si>
  <x:si>
    <x:t xml:space="preserve">3.5</x:t>
  </x:si>
  <x:si>
    <x:t xml:space="preserve">Polished cementitious finish</x:t>
  </x:si>
  <x:si>
    <x:t xml:space="preserve">3.6</x:t>
  </x:si>
  <x:si>
    <x:t xml:space="preserve">3.7</x:t>
  </x:si>
  <x:si>
    <x:t xml:space="preserve">At every doorway between different finishes</x:t>
  </x:si>
  <x:si>
    <x:t xml:space="preserve">4.1</x:t>
  </x:si>
  <x:si>
    <x:t xml:space="preserve">4.2</x:t>
  </x:si>
  <x:si>
    <x:t xml:space="preserve">4.3</x:t>
  </x:si>
  <x:si>
    <x:t xml:space="preserve">5.1</x:t>
  </x:si>
  <x:si>
    <x:t xml:space="preserve">5.2</x:t>
  </x:si>
  <x:si>
    <x:t xml:space="preserve">5.3</x:t>
  </x:si>
  <x:si>
    <x:t xml:space="preserve">5.4</x:t>
  </x:si>
  <x:si>
    <x:t xml:space="preserve">5.5</x:t>
  </x:si>
  <x:si>
    <x:t xml:space="preserve">5.6</x:t>
  </x:si>
  <x:si>
    <x:t xml:space="preserve">5.7</x:t>
  </x:si>
  <x:si>
    <x:t xml:space="preserve">5.8</x:t>
  </x:si>
  <x:si>
    <x:t xml:space="preserve">6.1</x:t>
  </x:si>
  <x:si>
    <x:t xml:space="preserve">6.2</x:t>
  </x:si>
  <x:si>
    <x:t xml:space="preserve">6.3</x:t>
  </x:si>
  <x:si>
    <x:t xml:space="preserve">7.1</x:t>
  </x:si>
  <x:si>
    <x:t xml:space="preserve">8.1</x:t>
  </x:si>
  <x:si>
    <x:t xml:space="preserve">8.2</x:t>
  </x:si>
  <x:si>
    <x:t xml:space="preserve">Eave gutter</x:t>
  </x:si>
  <x:si>
    <x:t xml:space="preserve">At every eave line</x:t>
  </x:si>
  <x:si>
    <x:t xml:space="preserve">8.3</x:t>
  </x:si>
  <x:si>
    <x:t xml:space="preserve">9.1</x:t>
  </x:si>
  <x:si>
    <x:t xml:space="preserve">9.2</x:t>
  </x:si>
  <x:si>
    <x:t xml:space="preserve">9.3</x:t>
  </x:si>
  <x:si>
    <x:t xml:space="preserve">Pedestrian access gate</x:t>
  </x:si>
  <x:si>
    <x:t xml:space="preserve">950mm. Hinged. Lockable</x:t>
  </x:si>
  <x:si>
    <x:t xml:space="preserve">10.1</x:t>
  </x:si>
  <x:si>
    <x:t xml:space="preserve">10.2</x:t>
  </x:si>
  <x:si>
    <x:t xml:space="preserve">Builder's clean (final)</x:t>
  </x:si>
  <x:si>
    <x:t xml:space="preserve">10.3</x:t>
  </x:si>
  <x:si>
    <x:t xml:space="preserve">2-3% of finishes value typical</x:t>
  </x:si>
  <x:si>
    <x:t xml:space="preserve">Assembly
Ref</x:t>
  </x:si>
  <x:si>
    <x:t xml:space="preserve">Extended
Qty</x:t>
  </x:si>
  <x:si>
    <x:t xml:space="preserve">QTO Ref 1.1 - W3</x:t>
  </x:si>
  <x:si>
    <x:t xml:space="preserve">P</x:t>
  </x:si>
  <x:si>
    <x:t xml:space="preserve">m³</x:t>
  </x:si>
  <x:si>
    <x:t xml:space="preserve">kg</x:t>
  </x:si>
  <x:si>
    <x:t xml:space="preserve">At ~800-1000 c/c</x:t>
  </x:si>
  <x:si>
    <x:t xml:space="preserve">Both faces</x:t>
  </x:si>
  <x:si>
    <x:t xml:space="preserve">Labour - painter</x:t>
  </x:si>
  <x:si>
    <x:t xml:space="preserve">ASSEMBLY 1 SUBTOTAL</x:t>
  </x:si>
  <x:si>
    <x:t xml:space="preserve">QTO Ref 1.2 - W2</x:t>
  </x:si>
  <x:si>
    <x:t xml:space="preserve">Labour - tiler</x:t>
  </x:si>
  <x:si>
    <x:t xml:space="preserve">Reduced - small area</x:t>
  </x:si>
  <x:si>
    <x:t xml:space="preserve">ASSEMBLY 2 SUBTOTAL</x:t>
  </x:si>
  <x:si>
    <x:t xml:space="preserve">QTO Ref 1.3 - W1</x:t>
  </x:si>
  <x:si>
    <x:t xml:space="preserve">Lighter for non-load bearing</x:t>
  </x:si>
  <x:si>
    <x:t xml:space="preserve">2 faces × 3m</x:t>
  </x:si>
  <x:si>
    <x:t xml:space="preserve">ASSEMBLY 3 SUBTOTAL</x:t>
  </x:si>
  <x:si>
    <x:t xml:space="preserve">Earthworks</x:t>
  </x:si>
  <x:si>
    <x:t xml:space="preserve">Base under slab</x:t>
  </x:si>
  <x:si>
    <x:t xml:space="preserve">Concrete 85mm (25 MPa)</x:t>
  </x:si>
  <x:si>
    <x:t xml:space="preserve">Slab volume</x:t>
  </x:si>
  <x:si>
    <x:t xml:space="preserve">Mesh F62 / SL62</x:t>
  </x:si>
  <x:si>
    <x:t xml:space="preserve">Including 5% lap</x:t>
  </x:si>
  <x:si>
    <x:t xml:space="preserve">Curing compound</x:t>
  </x:si>
  <x:si>
    <x:t xml:space="preserve">Control joints / saw cuts</x:t>
  </x:si>
  <x:si>
    <x:t xml:space="preserve">Labour - concreter</x:t>
  </x:si>
  <x:si>
    <x:t xml:space="preserve">Plant - poker / float / trowel</x:t>
  </x:si>
  <x:si>
    <x:t xml:space="preserve">ASSEMBLY 4 SUBTOTAL</x:t>
  </x:si>
  <x:si>
    <x:t xml:space="preserve">QTO Ref 3.3</x:t>
  </x:si>
  <x:si>
    <x:t xml:space="preserve">Dry shake hardener</x:t>
  </x:si>
  <x:si>
    <x:t xml:space="preserve">Polishing - mechanical trowel</x:t>
  </x:si>
  <x:si>
    <x:t xml:space="preserve">Labour - concreter (apply hardener)</x:t>
  </x:si>
  <x:si>
    <x:t xml:space="preserve">Labour - finisher</x:t>
  </x:si>
  <x:si>
    <x:t xml:space="preserve">Multiple passes</x:t>
  </x:si>
  <x:si>
    <x:t xml:space="preserve">Plant - power trowel</x:t>
  </x:si>
  <x:si>
    <x:t xml:space="preserve">ASSEMBLY 5 SUBTOTAL</x:t>
  </x:si>
  <x:si>
    <x:t xml:space="preserve">QTO Ref 3.6</x:t>
  </x:si>
  <x:si>
    <x:t xml:space="preserve">10% wastage</x:t>
  </x:si>
  <x:si>
    <x:t xml:space="preserve">Adhesive</x:t>
  </x:si>
  <x:si>
    <x:t xml:space="preserve">Coved skirting (perimeter)</x:t>
  </x:si>
  <x:si>
    <x:t xml:space="preserve">Labour - flooring installer</x:t>
  </x:si>
  <x:si>
    <x:t xml:space="preserve">ASSEMBLY 6 SUBTOTAL</x:t>
  </x:si>
  <x:si>
    <x:t xml:space="preserve">5% wastage</x:t>
  </x:si>
  <x:si>
    <x:t xml:space="preserve">~600 c/c</x:t>
  </x:si>
  <x:si>
    <x:t xml:space="preserve">Hangers / suspension wire</x:t>
  </x:si>
  <x:si>
    <x:t xml:space="preserve">~1m × 1m grid</x:t>
  </x:si>
  <x:si>
    <x:t xml:space="preserve">Drywall screws</x:t>
  </x:si>
  <x:si>
    <x:t xml:space="preserve">Labour - stopper</x:t>
  </x:si>
  <x:si>
    <x:t xml:space="preserve">Scaffold / access</x:t>
  </x:si>
  <x:si>
    <x:t xml:space="preserve">Trestles or hop-up</x:t>
  </x:si>
  <x:si>
    <x:t xml:space="preserve">ASSEMBLY 7 SUBTOTAL</x:t>
  </x:si>
  <x:si>
    <x:t xml:space="preserve">QTO Ref 5.1</x:t>
  </x:si>
  <x:si>
    <x:t xml:space="preserve">Anchor lugs included</x:t>
  </x:si>
  <x:si>
    <x:t xml:space="preserve">Hardware</x:t>
  </x:si>
  <x:si>
    <x:t xml:space="preserve">Lockset - mortice + cylinder</x:t>
  </x:si>
  <x:si>
    <x:t xml:space="preserve">Threshold - aluminium</x:t>
  </x:si>
  <x:si>
    <x:t xml:space="preserve">~2 m² × 2 sides</x:t>
  </x:si>
  <x:si>
    <x:t xml:space="preserve">ASSEMBLY 8 SUBTOTAL</x:t>
  </x:si>
  <x:si>
    <x:t xml:space="preserve">QTO Ref 5.3</x:t>
  </x:si>
  <x:si>
    <x:t xml:space="preserve">Lockset / latch</x:t>
  </x:si>
  <x:si>
    <x:t xml:space="preserve">Varnish / clear finish</x:t>
  </x:si>
  <x:si>
    <x:t xml:space="preserve">Labour - carpenter</x:t>
  </x:si>
  <x:si>
    <x:t xml:space="preserve">Labour - painter / finisher</x:t>
  </x:si>
  <x:si>
    <x:t xml:space="preserve">ASSEMBLY 9 SUBTOTAL</x:t>
  </x:si>
  <x:si>
    <x:t xml:space="preserve">QTO Ref 5.4</x:t>
  </x:si>
  <x:si>
    <x:t xml:space="preserve">One per panel</x:t>
  </x:si>
  <x:si>
    <x:t xml:space="preserve">Pull handles (recessed)</x:t>
  </x:si>
  <x:si>
    <x:t xml:space="preserve">Soft-close mechanism</x:t>
  </x:si>
  <x:si>
    <x:t xml:space="preserve">Optional but typical</x:t>
  </x:si>
  <x:si>
    <x:t xml:space="preserve">Varnish / finish</x:t>
  </x:si>
  <x:si>
    <x:t xml:space="preserve">2 panels × 2 faces</x:t>
  </x:si>
  <x:si>
    <x:t xml:space="preserve">ASSEMBLY 10 SUBTOTAL</x:t>
  </x:si>
  <x:si>
    <x:t xml:space="preserve">QTO Ref 5.8</x:t>
  </x:si>
  <x:si>
    <x:t xml:space="preserve">Side guides / tracks</x:t>
  </x:si>
  <x:si>
    <x:t xml:space="preserve">Control panel / receiver</x:t>
  </x:si>
  <x:si>
    <x:t xml:space="preserve">Manual override + key release</x:t>
  </x:si>
  <x:si>
    <x:t xml:space="preserve">Anti-fall safety brake</x:t>
  </x:si>
  <x:si>
    <x:t xml:space="preserve">Code requirement</x:t>
  </x:si>
  <x:si>
    <x:t xml:space="preserve">Photo-eye safety beam</x:t>
  </x:si>
  <x:si>
    <x:t xml:space="preserve">Labour - installer (specialist)</x:t>
  </x:si>
  <x:si>
    <x:t xml:space="preserve">2-person crew, full day</x:t>
  </x:si>
  <x:si>
    <x:t xml:space="preserve">Commissioning + adjustment</x:t>
  </x:si>
  <x:si>
    <x:t xml:space="preserve">ASSEMBLY 11 SUBTOTAL</x:t>
  </x:si>
  <x:si>
    <x:t xml:space="preserve">QTO Ref 6.1</x:t>
  </x:si>
  <x:si>
    <x:t xml:space="preserve">Glass - 4mm clear (3 panels)</x:t>
  </x:si>
  <x:si>
    <x:t xml:space="preserve">~3 × ~0.65 m²</x:t>
  </x:si>
  <x:si>
    <x:t xml:space="preserve">Glazing rubber + gaskets</x:t>
  </x:si>
  <x:si>
    <x:t xml:space="preserve">Around all panes</x:t>
  </x:si>
  <x:si>
    <x:t xml:space="preserve">Locks + handles</x:t>
  </x:si>
  <x:si>
    <x:t xml:space="preserve">ASSEMBLY 12 SUBTOTAL</x:t>
  </x:si>
  <x:si>
    <x:t xml:space="preserve">QTO Ref 6.3</x:t>
  </x:si>
  <x:si>
    <x:t xml:space="preserve">Heavier section than aluminium</x:t>
  </x:si>
  <x:si>
    <x:t xml:space="preserve">3 panes × ~0.5 m²</x:t>
  </x:si>
  <x:si>
    <x:t xml:space="preserve">Labour - glazier</x:t>
  </x:si>
  <x:si>
    <x:t xml:space="preserve">ASSEMBLY 13 SUBTOTAL</x:t>
  </x:si>
  <x:si>
    <x:t xml:space="preserve">QTO Ref 8.1</x:t>
  </x:si>
  <x:si>
    <x:t xml:space="preserve">10% lap + wastage</x:t>
  </x:si>
  <x:si>
    <x:t xml:space="preserve">Tek screws + washers</x:t>
  </x:si>
  <x:si>
    <x:t xml:space="preserve">~12 per m² typical</x:t>
  </x:si>
  <x:si>
    <x:t xml:space="preserve">Ridge cap</x:t>
  </x:si>
  <x:si>
    <x:t xml:space="preserve">Edge / barge flashings</x:t>
  </x:si>
  <x:si>
    <x:t xml:space="preserve">Labour - roofer</x:t>
  </x:si>
  <x:si>
    <x:t xml:space="preserve">Labour - labourer (passing material)</x:t>
  </x:si>
  <x:si>
    <x:t xml:space="preserve">Edge protection / scaffold</x:t>
  </x:si>
  <x:si>
    <x:t xml:space="preserve">Crane/hoist - sheet lift</x:t>
  </x:si>
  <x:si>
    <x:t xml:space="preserve">ASSEMBLY 14 SUBTOTAL</x:t>
  </x:si>
  <x:si>
    <x:t xml:space="preserve">QTO Ref 8.2</x:t>
  </x:si>
  <x:si>
    <x:t xml:space="preserve">Gutter section (Colorbond or galv)</x:t>
  </x:si>
  <x:si>
    <x:t xml:space="preserve">~700 c/c</x:t>
  </x:si>
  <x:si>
    <x:t xml:space="preserve">Stop ends</x:t>
  </x:si>
  <x:si>
    <x:t xml:space="preserve">Outlet / dropper</x:t>
  </x:si>
  <x:si>
    <x:t xml:space="preserve">~1 outlet per 10m</x:t>
  </x:si>
  <x:si>
    <x:t xml:space="preserve">At joins</x:t>
  </x:si>
  <x:si>
    <x:t xml:space="preserve">Labour - roofer / plumber</x:t>
  </x:si>
  <x:si>
    <x:t xml:space="preserve">ASSEMBLY 15 SUBTOTAL</x:t>
  </x:si>
  <x:si>
    <x:t xml:space="preserve">QTO Ref 9.1</x:t>
  </x:si>
  <x:si>
    <x:t xml:space="preserve">~1 post per 2.4m</x:t>
  </x:si>
  <x:si>
    <x:t xml:space="preserve">Concrete post footing (300×300×600)</x:t>
  </x:si>
  <x:si>
    <x:t xml:space="preserve">~50L per post</x:t>
  </x:si>
  <x:si>
    <x:t xml:space="preserve">Labour - concreter (footings)</x:t>
  </x:si>
  <x:si>
    <x:t xml:space="preserve">ASSEMBLY 16 SUBTOTAL</x:t>
  </x:si>
  <x:si>
    <x:t xml:space="preserve">QTO Ref 9.2</x:t>
  </x:si>
  <x:si>
    <x:t xml:space="preserve">Custom fabricated</x:t>
  </x:si>
  <x:si>
    <x:t xml:space="preserve">Gate infill (matching fence pickets)</x:t>
  </x:si>
  <x:si>
    <x:t xml:space="preserve">3.6 × 1.5</x:t>
  </x:si>
  <x:si>
    <x:t xml:space="preserve">Gate motor / drive (rack &amp; pinion)</x:t>
  </x:si>
  <x:si>
    <x:t xml:space="preserve">Specified separately as 9.4</x:t>
  </x:si>
  <x:si>
    <x:t xml:space="preserve">Engine box / motor housing</x:t>
  </x:si>
  <x:si>
    <x:t xml:space="preserve">Listed as 9.6</x:t>
  </x:si>
  <x:si>
    <x:t xml:space="preserve">Limit switches / safety beams</x:t>
  </x:si>
  <x:si>
    <x:t xml:space="preserve">C6 circuit per E1 dwg</x:t>
  </x:si>
  <x:si>
    <x:t xml:space="preserve">Labour - fabricator / installer</x:t>
  </x:si>
  <x:si>
    <x:t xml:space="preserve">Commissioning + remote programming</x:t>
  </x:si>
  <x:si>
    <x:t xml:space="preserve">ASSEMBLY 17 SUBTOTAL</x:t>
  </x:si>
  <x:si>
    <x:t xml:space="preserve">One per assembly</x:t>
  </x:si>
  <x:si>
    <x:t xml:space="preserve">CATEGORY header</x:t>
  </x:si>
  <x:si>
    <x:t xml:space="preserve">Top of each table</x:t>
  </x:si>
  <x:si>
    <x:t xml:space="preserve">1.</x:t>
  </x:si>
  <x:si>
    <x:t xml:space="preserve">2.</x:t>
  </x:si>
  <x:si>
    <x:t xml:space="preserve">3.</x:t>
  </x:si>
  <x:si>
    <x:t xml:space="preserve">4.</x:t>
  </x:si>
  <x:si>
    <x:t xml:space="preserve">5.</x:t>
  </x:si>
  <x:si>
    <x:t xml:space="preserve">6.</x:t>
  </x:si>
  <x:si>
    <x:t xml:space="preserve">A1</x:t>
  </x:si>
  <x:si>
    <x:t xml:space="preserve">A2</x:t>
  </x:si>
  <x:si>
    <x:t xml:space="preserve">North façade elevation</x:t>
  </x:si>
  <x:si>
    <x:t xml:space="preserve">A3</x:t>
  </x:si>
  <x:si>
    <x:t xml:space="preserve">South / East / West façade elevations</x:t>
  </x:si>
  <x:si>
    <x:t xml:space="preserve">A4</x:t>
  </x:si>
  <x:si>
    <x:t xml:space="preserve">Architectural details (doors, windows, fences)</x:t>
  </x:si>
  <x:si>
    <x:t xml:space="preserve">Structure 5</x:t>
  </x:si>
  <x:si>
    <x:t xml:space="preserve">E1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</x:si>
</x:sst>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#,##0.00;\(#,##0.00\);\-"/>
    <x:numFmt numFmtId="166" formatCode="\$#,##0.00;&quot;($&quot;#,##0.00\);\-"/>
    <x:numFmt numFmtId="167" formatCode="0.000"/>
  </x:numFmts>
  <x:fonts count="17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Calibri"/>
    </x:font>
    <x:font>
      <x:b/>
      <x:sz val="10"/>
      <x:name val="Calibri"/>
    </x:font>
    <x:font>
      <x:b/>
      <x:sz val="11"/>
      <x:color rgb="FFFFFFFF"/>
      <x:name val="Calibri"/>
    </x:font>
    <x:font>
      <x:i/>
      <x:sz val="9"/>
      <x:color rgb="FF595959"/>
      <x:name val="Calibri"/>
    </x:font>
    <x:font>
      <x:b/>
      <x:sz val="11"/>
      <x:color rgb="FF1F3864"/>
      <x:name val="Calibri"/>
    </x:font>
    <x:font>
      <x:sz val="10"/>
      <x:name val="Calibri"/>
    </x:font>
    <x:font>
      <x:sz val="10"/>
      <x:color rgb="FF0000FF"/>
      <x:name val="Calibri"/>
    </x:font>
    <x:font>
      <x:b/>
      <x:sz val="10"/>
      <x:color rgb="FF000000"/>
      <x:name val="Calibri"/>
    </x:font>
    <x:font>
      <x:i/>
      <x:sz val="10"/>
      <x:color rgb="FF595959"/>
      <x:name val="Calibri"/>
    </x:font>
    <x:font>
      <x:i/>
      <x:sz val="9"/>
      <x:color rgb="FF1F3864"/>
      <x:name val="Calibri"/>
    </x:font>
    <x:font>
      <x:b/>
      <x:sz val="10"/>
      <x:color rgb="FF1F3864"/>
      <x:name val="Calibri"/>
    </x:font>
    <x:font>
      <x:sz val="10"/>
      <x:color rgb="FF000000"/>
      <x:name val="Calibri"/>
    </x:font>
    <x:font>
      <x:b/>
      <x:sz val="12"/>
      <x:color rgb="FF1F3864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FE699"/>
      </x:patternFill>
    </x:fill>
  </x:fills>
  <x:borders count="3">
    <x:border diagonalUp="0" diagonalDown="0"/>
    <x:border diagonalUp="0" diagonalDown="0">
      <x:left style="medium">
        <x:color rgb="FF1F3864"/>
      </x:left>
      <x:right style="medium">
        <x:color rgb="FF1F3864"/>
      </x:right>
      <x:top style="medium">
        <x:color rgb="FF1F3864"/>
      </x:top>
      <x:bottom style="medium">
        <x:color rgb="FF1F3864"/>
      </x:bottom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7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1" applyAlignment="1">
      <x:alignment horizontal="center" vertical="center" wrapText="1"/>
    </x:xf>
    <x:xf numFmtId="164" fontId="5" fillId="0" borderId="0" xfId="0" applyFont="1" applyBorder="0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7" fillId="0" borderId="0" xfId="0" applyFont="1" applyBorder="0" applyAlignment="1">
      <x:alignment horizontal="center" vertical="center" wrapText="1"/>
    </x:xf>
    <x:xf numFmtId="164" fontId="0" fillId="3" borderId="2" xfId="0" applyFont="0" applyBorder="1" applyAlignment="0">
      <x:alignment horizontal="general" vertical="bottom" wrapText="0"/>
    </x:xf>
    <x:xf numFmtId="164" fontId="8" fillId="3" borderId="2" xfId="0" applyFont="1" applyBorder="1" applyAlignment="1">
      <x:alignment horizontal="left" vertical="center" wrapText="1"/>
    </x:xf>
    <x:xf numFmtId="164" fontId="9" fillId="0" borderId="2" xfId="0" applyFont="1" applyBorder="1" applyAlignment="1">
      <x:alignment horizontal="center" vertical="center" wrapText="1"/>
    </x:xf>
    <x:xf numFmtId="164" fontId="0" fillId="0" borderId="2" xfId="0" applyFont="0" applyBorder="1" applyAlignment="0">
      <x:alignment horizontal="general" vertical="bottom" wrapText="0"/>
    </x:xf>
    <x:xf numFmtId="164" fontId="9" fillId="0" borderId="2" xfId="0" applyFont="1" applyBorder="1" applyAlignment="1">
      <x:alignment horizontal="left" vertical="center" wrapText="1"/>
    </x:xf>
    <x:xf numFmtId="165" fontId="10" fillId="4" borderId="2" xfId="0" applyFont="1" applyBorder="1" applyAlignment="1">
      <x:alignment horizontal="right" vertical="center" wrapText="0"/>
    </x:xf>
    <x:xf numFmtId="165" fontId="11" fillId="0" borderId="2" xfId="0" applyFont="1" applyBorder="1" applyAlignment="1">
      <x:alignment horizontal="right" vertical="center" wrapText="0"/>
    </x:xf>
    <x:xf numFmtId="164" fontId="7" fillId="0" borderId="2" xfId="0" applyFont="1" applyBorder="1" applyAlignment="1">
      <x:alignment horizontal="left" vertical="center" wrapText="1"/>
    </x:xf>
    <x:xf numFmtId="164" fontId="12" fillId="0" borderId="0" xfId="0" applyFont="1" applyBorder="1" applyAlignment="0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  <x:xf numFmtId="164" fontId="14" fillId="5" borderId="0" xfId="0" applyFont="1" applyBorder="0" applyAlignment="1">
      <x:alignment horizontal="center" vertical="center" wrapText="1"/>
    </x:xf>
    <x:xf numFmtId="164" fontId="14" fillId="5" borderId="0" xfId="0" applyFont="1" applyBorder="0" applyAlignment="0">
      <x:alignment horizontal="general" vertical="bottom" wrapText="0"/>
    </x:xf>
    <x:xf numFmtId="165" fontId="10" fillId="4" borderId="0" xfId="0" applyFont="1" applyBorder="0" applyAlignment="1">
      <x:alignment horizontal="right" vertical="center" wrapText="0"/>
    </x:xf>
    <x:xf numFmtId="165" fontId="14" fillId="5" borderId="0" xfId="0" applyFont="1" applyBorder="0" applyAlignment="1">
      <x:alignment horizontal="right" vertical="center" wrapText="0"/>
    </x:xf>
    <x:xf numFmtId="166" fontId="10" fillId="4" borderId="0" xfId="0" applyFont="1" applyBorder="0" applyAlignment="1">
      <x:alignment horizontal="right" vertical="center" wrapText="0"/>
    </x:xf>
    <x:xf numFmtId="166" fontId="14" fillId="5" borderId="0" xfId="0" applyFont="1" applyBorder="0" applyAlignment="1">
      <x:alignment horizontal="right" vertical="center" wrapText="0"/>
    </x:xf>
    <x:xf numFmtId="164" fontId="9" fillId="0" borderId="2" xfId="0" applyFont="1" applyBorder="1" applyAlignment="0">
      <x:alignment horizontal="general" vertical="bottom" wrapText="0"/>
    </x:xf>
    <x:xf numFmtId="167" fontId="10" fillId="4" borderId="2" xfId="0" applyFont="1" applyBorder="1" applyAlignment="1">
      <x:alignment horizontal="right" vertical="center" wrapText="0"/>
    </x:xf>
    <x:xf numFmtId="165" fontId="15" fillId="0" borderId="2" xfId="0" applyFont="1" applyBorder="1" applyAlignment="1">
      <x:alignment horizontal="right" vertical="center" wrapText="0"/>
    </x:xf>
    <x:xf numFmtId="166" fontId="10" fillId="4" borderId="2" xfId="0" applyFont="1" applyBorder="1" applyAlignment="1">
      <x:alignment horizontal="right" vertical="center" wrapText="0"/>
    </x:xf>
    <x:xf numFmtId="166" fontId="15" fillId="0" borderId="2" xfId="0" applyFont="1" applyBorder="1" applyAlignment="1">
      <x:alignment horizontal="right" vertical="center" wrapText="0"/>
    </x:xf>
    <x:xf numFmtId="164" fontId="0" fillId="6" borderId="0" xfId="0" applyFont="0" applyBorder="0" applyAlignment="0">
      <x:alignment horizontal="general" vertical="bottom" wrapText="0"/>
    </x:xf>
    <x:xf numFmtId="164" fontId="5" fillId="6" borderId="0" xfId="0" applyFont="1" applyBorder="0" applyAlignment="1">
      <x:alignment horizontal="left" vertical="center" wrapText="1"/>
    </x:xf>
    <x:xf numFmtId="166" fontId="5" fillId="6" borderId="0" xfId="0" applyFont="1" applyBorder="0" applyAlignment="1">
      <x:alignment horizontal="right" vertical="center" wrapText="0"/>
    </x:xf>
    <x:xf numFmtId="164" fontId="16" fillId="0" borderId="0" xfId="0" applyFont="1" applyBorder="0" applyAlignment="0">
      <x:alignment horizontal="general" vertical="bottom" wrapText="0"/>
    </x:xf>
    <x:xf numFmtId="164" fontId="9" fillId="0" borderId="0" xfId="0" applyFont="1" applyBorder="0" applyAlignment="0">
      <x:alignment horizontal="general" vertical="bottom" wrapText="0"/>
    </x:xf>
    <x:xf numFmtId="164" fontId="10" fillId="4" borderId="0" xfId="0" applyFont="1" applyBorder="0" applyAlignment="1">
      <x:alignment horizontal="center" vertical="center" wrapText="1"/>
    </x:xf>
    <x:xf numFmtId="164" fontId="7" fillId="0" borderId="0" xfId="0" applyFont="1" applyBorder="0" applyAlignment="0">
      <x:alignment horizontal="general" vertical="bottom" wrapText="0"/>
    </x:xf>
    <x:xf numFmtId="164" fontId="5" fillId="6" borderId="0" xfId="0" applyFont="1" applyBorder="0" applyAlignment="1">
      <x:alignment horizontal="center" vertical="center" wrapText="1"/>
    </x:xf>
    <x:xf numFmtId="164" fontId="8" fillId="3" borderId="0" xfId="0" applyFont="1" applyBorder="0" applyAlignment="1">
      <x:alignment horizontal="center" vertical="center" wrapText="1"/>
    </x:xf>
    <x:xf numFmtId="164" fontId="6" fillId="2" borderId="0" xfId="0" applyFont="1" applyBorder="0" applyAlignment="1">
      <x:alignment horizontal="center" vertical="center" wrapText="1"/>
    </x:xf>
    <x:xf numFmtId="164" fontId="9" fillId="0" borderId="0" xfId="0" applyFont="1" applyBorder="0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E6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9b85766664138" /><Relationship Type="http://schemas.openxmlformats.org/officeDocument/2006/relationships/theme" Target="/xl/theme/theme1.xml" Id="Red3ef5fe7ca04618" /><Relationship Type="http://schemas.openxmlformats.org/officeDocument/2006/relationships/sharedStrings" Target="/xl/sharedStrings.xml" Id="R636bce1ad331418b" /><Relationship Type="http://schemas.openxmlformats.org/officeDocument/2006/relationships/worksheet" Target="/xl/worksheets/sheet1.xml" Id="R2279a484439244f5" /><Relationship Type="http://schemas.openxmlformats.org/officeDocument/2006/relationships/worksheet" Target="/xl/worksheets/sheet2.xml" Id="R9e6d050760294a67" /><Relationship Type="http://schemas.openxmlformats.org/officeDocument/2006/relationships/worksheet" Target="/xl/worksheets/sheet3.xml" Id="Re65fc83327db4a3c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4" ySplit="8" topLeftCell="E9" activePane="bottomRight" state="frozen"/>
    </x:sheetView>
  </x:sheetViews>
  <x:sheetFormatPr defaultColWidth="8.6796875" defaultRowHeight="15"/>
  <x:cols>
    <x:col min="1" max="1" width="8" hidden="0" customWidth="1"/>
    <x:col min="2" max="2" width="18" hidden="0" customWidth="1"/>
    <x:col min="3" max="3" width="50" hidden="0" customWidth="1"/>
    <x:col min="4" max="4" width="8" hidden="0" customWidth="1"/>
    <x:col min="5" max="12" width="10" hidden="0" customWidth="1"/>
    <x:col min="13" max="13" width="12" hidden="0" customWidth="1"/>
    <x:col min="14" max="14" width="50" hidden="0" customWidth="1"/>
  </x:cols>
  <x:sheetData>
    <x:row r="1" ht="20.850000381469727" hidden="0" customHeight="1">
      <x:c r="A1" s="1" t="str">
        <x:v>ÉPÍTÉSZETI MENNYISÉGFELVÉTEL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hidden="0">
      <x:c r="A2" s="2" t="str">
        <x:v>Projekt:</x:v>
      </x:c>
    </x:row>
    <x:row r="3" ht="15" hidden="0">
      <x:c r="A3" s="2" t="str">
        <x:v>Megrendelő:</x:v>
      </x:c>
    </x:row>
    <x:row r="4" ht="15" hidden="0">
      <x:c r="A4" s="2" t="str">
        <x:v>Dátum:</x:v>
      </x:c>
    </x:row>
    <x:row r="5" ht="15" hidden="0">
      <x:c r="A5" s="2" t="str">
        <x:v>Készítette:</x:v>
      </x:c>
    </x:row>
    <x:row r="7" ht="30" hidden="0" customHeight="1">
      <x:c r="A7" s="3" t="str">
        <x:v>Tétel-
azonosító</x:v>
      </x:c>
      <x:c r="B7" s="3" t="str">
        <x:v>Kategória</x:v>
      </x:c>
      <x:c r="C7" s="3" t="str">
        <x:v>Megnevezés / műszaki leírás</x:v>
      </x:c>
      <x:c r="D7" s="3" t="str">
        <x:v>Mértékegység</x:v>
      </x:c>
      <x:c r="E7" s="3" t="str">
        <x:v>Terv 1</x:v>
      </x:c>
      <x:c r="F7" s="3" t="str">
        <x:v>Terv 2</x:v>
      </x:c>
      <x:c r="G7" s="3" t="str">
        <x:v>Terv 3</x:v>
      </x:c>
      <x:c r="H7" s="3" t="str">
        <x:v>Terv 4</x:v>
      </x:c>
      <x:c r="I7" s="3" t="str">
        <x:v>Terv 5</x:v>
      </x:c>
      <x:c r="J7" s="3" t="str">
        <x:v>Terv 6</x:v>
      </x:c>
      <x:c r="K7" s="3" t="str">
        <x:v>Terv 7</x:v>
      </x:c>
      <x:c r="L7" s="3" t="str">
        <x:v>Terv 8</x:v>
      </x:c>
      <x:c r="M7" s="3" t="s">
        <x:v>0</x:v>
      </x:c>
      <x:c r="N7" s="3" t="str">
        <x:v>Megjegyzés</x:v>
      </x:c>
    </x:row>
    <x:row r="8" ht="15" hidden="0">
      <x:c r="E8" s="4" t="str">
        <x:v>Tervszám</x:v>
      </x:c>
      <x:c r="F8" s="4" t="str">
        <x:v>Tervszám</x:v>
      </x:c>
      <x:c r="G8" s="4" t="str">
        <x:v>Tervszám</x:v>
      </x:c>
      <x:c r="H8" s="4" t="str">
        <x:v>Tervszám</x:v>
      </x:c>
      <x:c r="I8" s="4" t="str">
        <x:v>Tervszám</x:v>
      </x:c>
      <x:c r="J8" s="4" t="str">
        <x:v>Tervszám</x:v>
      </x:c>
      <x:c r="K8" s="4" t="str">
        <x:v>Tervszám</x:v>
      </x:c>
      <x:c r="L8" s="4" t="str">
        <x:v>Tervszám</x:v>
      </x:c>
    </x:row>
    <x:row r="9" ht="28.350000381469727" hidden="0">
      <x:c r="A9" s="5"/>
      <x:c r="B9" s="6" t="str">
        <x:v>FALAK - TÍPUSONKÉNTI FOLYÓMÉTER</x:v>
      </x:c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</x:row>
    <x:row r="10" ht="15" hidden="0">
      <x:c r="A10" s="7" t="s">
        <x:v>1</x:v>
      </x:c>
      <x:c r="B10" s="8"/>
      <x:c r="C10" s="9" t="str">
        <x:v>Külső blokkfal - W3 (vakolt + festett, 200mm, 3.0m magas)</x:v>
      </x:c>
      <x:c r="D10" s="7" t="str">
        <x:v>fm</x:v>
      </x:c>
      <x:c r="E10" s="10"/>
      <x:c r="F10" s="10"/>
      <x:c r="G10" s="10"/>
      <x:c r="H10" s="10"/>
      <x:c r="I10" s="10"/>
      <x:c r="J10" s="10"/>
      <x:c r="K10" s="10"/>
      <x:c r="L10" s="10"/>
      <x:c r="M10" s="11" t="n">
        <x:f aca="0">SUM(E10:L10)</x:f>
        <x:v>0</x:v>
      </x:c>
      <x:c r="N10" s="12" t="str">
        <x:v>egyszárnyú fm measurement. All finishes baked into Assembly A1</x:v>
      </x:c>
    </x:row>
    <x:row r="11" ht="23.850000381469727" hidden="0">
      <x:c r="A11" s="7" t="s">
        <x:v>2</x:v>
      </x:c>
      <x:c r="B11" s="8"/>
      <x:c r="C11" s="9" t="str">
        <x:v>Fürdőszobai vizes fal - W2 (vakolat + festék külső oldalon; vakolat + burkolólap belső oldalon, 3.0m magas)</x:v>
      </x:c>
      <x:c r="D11" s="7" t="str">
        <x:v>fm</x:v>
      </x:c>
      <x:c r="E11" s="10"/>
      <x:c r="F11" s="10"/>
      <x:c r="G11" s="10"/>
      <x:c r="H11" s="10"/>
      <x:c r="I11" s="10"/>
      <x:c r="J11" s="10"/>
      <x:c r="K11" s="10"/>
      <x:c r="L11" s="10"/>
      <x:c r="M11" s="11" t="n">
        <x:f aca="0">SUM(E11:L11)</x:f>
        <x:v>0</x:v>
      </x:c>
      <x:c r="N11" s="12" t="str">
        <x:v>egyszárnyú fm measurement. All finishes baked into Assembly A2</x:v>
      </x:c>
    </x:row>
    <x:row r="12" ht="15" hidden="0">
      <x:c r="A12" s="7" t="s">
        <x:v>3</x:v>
      </x:c>
      <x:c r="B12" s="8"/>
      <x:c r="C12" s="9" t="str">
        <x:v>Belső blokkfal - W1 (festett mindkét oldalon, 200mm, 3.0m magas)</x:v>
      </x:c>
      <x:c r="D12" s="7" t="str">
        <x:v>fm</x:v>
      </x:c>
      <x:c r="E12" s="10"/>
      <x:c r="F12" s="10"/>
      <x:c r="G12" s="10"/>
      <x:c r="H12" s="10"/>
      <x:c r="I12" s="10"/>
      <x:c r="J12" s="10"/>
      <x:c r="K12" s="10"/>
      <x:c r="L12" s="10"/>
      <x:c r="M12" s="11" t="n">
        <x:f aca="0">SUM(E12:L12)</x:f>
        <x:v>0</x:v>
      </x:c>
      <x:c r="N12" s="12" t="str">
        <x:v>egyszárnyú fm measurement. All finishes baked into Assembly A3</x:v>
      </x:c>
    </x:row>
    <x:row r="13" ht="15" hidden="0">
      <x:c r="A13" s="7" t="s">
        <x:v>4</x:v>
      </x:c>
      <x:c r="B13" s="8"/>
      <x:c r="C13" s="9" t="str">
        <x:v>Belső válaszfal - könnyűszerkezetes (110mm, 2.7m magas)</x:v>
      </x:c>
      <x:c r="D13" s="7" t="str">
        <x:v>fm</x:v>
      </x:c>
      <x:c r="E13" s="10"/>
      <x:c r="F13" s="10"/>
      <x:c r="G13" s="10"/>
      <x:c r="H13" s="10"/>
      <x:c r="I13" s="10"/>
      <x:c r="J13" s="10"/>
      <x:c r="K13" s="10"/>
      <x:c r="L13" s="10"/>
      <x:c r="M13" s="11" t="n">
        <x:f aca="0">SUM(E13:L13)</x:f>
        <x:v>0</x:v>
      </x:c>
      <x:c r="N13" s="12" t="str">
        <x:v>Stud or egyszárnyú-skin falazóelem. Build külön kezelendő assembly if used</x:v>
      </x:c>
    </x:row>
    <x:row r="14" ht="15" hidden="0">
      <x:c r="A14" s="5"/>
      <x:c r="B14" s="6" t="str">
        <x:v>PADLÓK / BURKOLATOK</x:v>
      </x:c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</x:row>
    <x:row r="15" ht="15" hidden="0">
      <x:c r="A15" s="7" t="s">
        <x:v>5</x:v>
      </x:c>
      <x:c r="B15" s="8"/>
      <x:c r="C15" s="9" t="str">
        <x:v>F0 - 40 mm esztrich 85 mm beton alaprétegen (járda / gyalogos közlekedő)</x:v>
      </x:c>
      <x:c r="D15" s="7" t="s">
        <x:v>6</x:v>
      </x:c>
      <x:c r="E15" s="10"/>
      <x:c r="F15" s="10"/>
      <x:c r="G15" s="10"/>
      <x:c r="H15" s="10"/>
      <x:c r="I15" s="10"/>
      <x:c r="J15" s="10"/>
      <x:c r="K15" s="10"/>
      <x:c r="L15" s="10"/>
      <x:c r="M15" s="11" t="n">
        <x:f aca="0">SUM(E15:L15)</x:f>
        <x:v>0</x:v>
      </x:c>
      <x:c r="N15" s="12" t="str">
        <x:v>External járda / gyalogos közlekedő. tömörített base under</x:v>
      </x:c>
    </x:row>
    <x:row r="16" ht="15" hidden="0">
      <x:c r="A16" s="7" t="s">
        <x:v>7</x:v>
      </x:c>
      <x:c r="B16" s="8"/>
      <x:c r="C16" s="9" t="str">
        <x:v>F0 - 40 mm esztrich 85 mm beton alaprétegen (jármű közlekedő)</x:v>
      </x:c>
      <x:c r="D16" s="7" t="s">
        <x:v>6</x:v>
      </x:c>
      <x:c r="E16" s="10"/>
      <x:c r="F16" s="10"/>
      <x:c r="G16" s="10"/>
      <x:c r="H16" s="10"/>
      <x:c r="I16" s="10"/>
      <x:c r="J16" s="10"/>
      <x:c r="K16" s="10"/>
      <x:c r="L16" s="10"/>
      <x:c r="M16" s="11" t="n">
        <x:f aca="0">SUM(E16:L16)</x:f>
        <x:v>0</x:v>
      </x:c>
      <x:c r="N16" s="12" t="str">
        <x:v>External járműforgalmú terület. nagyobb terhelési osztály</x:v>
      </x:c>
    </x:row>
    <x:row r="17" ht="15" hidden="0">
      <x:c r="A17" s="7" t="s">
        <x:v>8</x:v>
      </x:c>
      <x:c r="B17" s="8"/>
      <x:c r="C17" s="9" t="str">
        <x:v>F1 - ipari padlókéreg-erősítés, simított-csiszolt (garázs)</x:v>
      </x:c>
      <x:c r="D17" s="7" t="s">
        <x:v>6</x:v>
      </x:c>
      <x:c r="E17" s="10"/>
      <x:c r="F17" s="10"/>
      <x:c r="G17" s="10"/>
      <x:c r="H17" s="10"/>
      <x:c r="I17" s="10"/>
      <x:c r="J17" s="10"/>
      <x:c r="K17" s="10"/>
      <x:c r="L17" s="10"/>
      <x:c r="M17" s="11" t="n">
        <x:f aca="0">SUM(E17:L17)</x:f>
        <x:v>0</x:v>
      </x:c>
      <x:c r="N17" s="12" t="s">
        <x:v>9</x:v>
      </x:c>
    </x:row>
    <x:row r="18" ht="15" hidden="0">
      <x:c r="A18" s="7" t="s">
        <x:v>10</x:v>
      </x:c>
      <x:c r="B18" s="8"/>
      <x:c r="C18" s="9" t="str">
        <x:v>F1 - ipari padlókéreg-erősítés, simított-csiszolt (raktár)</x:v>
      </x:c>
      <x:c r="D18" s="7" t="s">
        <x:v>6</x:v>
      </x:c>
      <x:c r="E18" s="10"/>
      <x:c r="F18" s="10"/>
      <x:c r="G18" s="10"/>
      <x:c r="H18" s="10"/>
      <x:c r="I18" s="10"/>
      <x:c r="J18" s="10"/>
      <x:c r="K18" s="10"/>
      <x:c r="L18" s="10"/>
      <x:c r="M18" s="11" t="n">
        <x:f aca="0">SUM(E18:L18)</x:f>
        <x:v>0</x:v>
      </x:c>
      <x:c r="N18" s="12" t="str">
        <x:v>Same finish, different room - külön kezelendő for clarity</x:v>
      </x:c>
    </x:row>
    <x:row r="19" ht="15" hidden="0">
      <x:c r="A19" s="7" t="s">
        <x:v>11</x:v>
      </x:c>
      <x:c r="B19" s="8"/>
      <x:c r="C19" s="9" t="str">
        <x:v>F0 - csiszolt beton / esztrich (tároló / szekrény)</x:v>
      </x:c>
      <x:c r="D19" s="7" t="s">
        <x:v>6</x:v>
      </x:c>
      <x:c r="E19" s="10"/>
      <x:c r="F19" s="10"/>
      <x:c r="G19" s="10"/>
      <x:c r="H19" s="10"/>
      <x:c r="I19" s="10"/>
      <x:c r="J19" s="10"/>
      <x:c r="K19" s="10"/>
      <x:c r="L19" s="10"/>
      <x:c r="M19" s="11" t="n">
        <x:f aca="0">SUM(E19:L19)</x:f>
        <x:v>0</x:v>
      </x:c>
      <x:c r="N19" s="12" t="s">
        <x:v>12</x:v>
      </x:c>
    </x:row>
    <x:row r="20" ht="15" hidden="0">
      <x:c r="A20" s="7" t="s">
        <x:v>13</x:v>
      </x:c>
      <x:c r="B20" s="8"/>
      <x:c r="C20" s="9" t="str">
        <x:v>F2 - linóleum burkolat esztrichen (fürdőszoba)</x:v>
      </x:c>
      <x:c r="D20" s="7" t="s">
        <x:v>6</x:v>
      </x:c>
      <x:c r="E20" s="10"/>
      <x:c r="F20" s="10"/>
      <x:c r="G20" s="10"/>
      <x:c r="H20" s="10"/>
      <x:c r="I20" s="10"/>
      <x:c r="J20" s="10"/>
      <x:c r="K20" s="10"/>
      <x:c r="L20" s="10"/>
      <x:c r="M20" s="11" t="n">
        <x:f aca="0">SUM(E20:L20)</x:f>
        <x:v>0</x:v>
      </x:c>
      <x:c r="N20" s="12" t="str">
        <x:v>PVC lemezburkolat. hegesztett illesztések. felhajtott szegély a falra</x:v>
      </x:c>
    </x:row>
    <x:row r="21" ht="15" hidden="0">
      <x:c r="A21" s="7" t="s">
        <x:v>14</x:v>
      </x:c>
      <x:c r="B21" s="8"/>
      <x:c r="C21" s="9" t="str">
        <x:v>Átmeneti profilok (burkolatváltásoknál)</x:v>
      </x:c>
      <x:c r="D21" s="7" t="str">
        <x:v>fm</x:v>
      </x:c>
      <x:c r="E21" s="10"/>
      <x:c r="F21" s="10"/>
      <x:c r="G21" s="10"/>
      <x:c r="H21" s="10"/>
      <x:c r="I21" s="10"/>
      <x:c r="J21" s="10"/>
      <x:c r="K21" s="10"/>
      <x:c r="L21" s="10"/>
      <x:c r="M21" s="11" t="n">
        <x:f aca="0">SUM(E21:L21)</x:f>
        <x:v>0</x:v>
      </x:c>
      <x:c r="N21" s="12" t="s">
        <x:v>15</x:v>
      </x:c>
    </x:row>
    <x:row r="22" ht="15" hidden="0">
      <x:c r="A22" s="5"/>
      <x:c r="B22" s="6" t="str">
        <x:v>MENNYEZETEK</x:v>
      </x:c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</x:row>
    <x:row r="23" ht="15" hidden="0">
      <x:c r="A23" s="7" t="s">
        <x:v>16</x:v>
      </x:c>
      <x:c r="B23" s="8"/>
      <x:c r="C23" s="9" t="str">
        <x:v>R2 - gipszkarton mennyezet fém tartóvázon</x:v>
      </x:c>
      <x:c r="D23" s="7" t="s">
        <x:v>6</x:v>
      </x:c>
      <x:c r="E23" s="10"/>
      <x:c r="F23" s="10"/>
      <x:c r="G23" s="10"/>
      <x:c r="H23" s="10"/>
      <x:c r="I23" s="10"/>
      <x:c r="J23" s="10"/>
      <x:c r="K23" s="10"/>
      <x:c r="L23" s="10"/>
      <x:c r="M23" s="11" t="n">
        <x:f aca="0">SUM(E23:L23)</x:f>
        <x:v>0</x:v>
      </x:c>
      <x:c r="N23" s="12" t="str">
        <x:v>belső helyiségek. Default = padló area unless dobozolás / álmennyezeti leugrás</x:v>
      </x:c>
    </x:row>
    <x:row r="24" ht="15" hidden="0">
      <x:c r="A24" s="7" t="s">
        <x:v>17</x:v>
      </x:c>
      <x:c r="B24" s="8"/>
      <x:c r="C24" s="9" t="str">
        <x:v>Dobozolások / álmennyezeti leugrások (függőleges felület)</x:v>
      </x:c>
      <x:c r="D24" s="7" t="s">
        <x:v>6</x:v>
      </x:c>
      <x:c r="E24" s="10"/>
      <x:c r="F24" s="10"/>
      <x:c r="G24" s="10"/>
      <x:c r="H24" s="10"/>
      <x:c r="I24" s="10"/>
      <x:c r="J24" s="10"/>
      <x:c r="K24" s="10"/>
      <x:c r="L24" s="10"/>
      <x:c r="M24" s="11" t="n">
        <x:f aca="0">SUM(E24:L24)</x:f>
        <x:v>0</x:v>
      </x:c>
      <x:c r="N24" s="12" t="str">
        <x:v>Add - mennyezet area separately</x:v>
      </x:c>
    </x:row>
    <x:row r="25" ht="15" hidden="0">
      <x:c r="A25" s="7" t="s">
        <x:v>18</x:v>
      </x:c>
      <x:c r="B25" s="8"/>
      <x:c r="C25" s="9" t="str">
        <x:v>látszó acélszerkezet festék (garázs / járda / gyalogos közlekedő)</x:v>
      </x:c>
      <x:c r="D25" s="7" t="s">
        <x:v>6</x:v>
      </x:c>
      <x:c r="E25" s="10"/>
      <x:c r="F25" s="10"/>
      <x:c r="G25" s="10"/>
      <x:c r="H25" s="10"/>
      <x:c r="I25" s="10"/>
      <x:c r="J25" s="10"/>
      <x:c r="K25" s="10"/>
      <x:c r="L25" s="10"/>
      <x:c r="M25" s="11" t="n">
        <x:f aca="0">SUM(E25:L25)</x:f>
        <x:v>0</x:v>
      </x:c>
      <x:c r="N25" s="12" t="str">
        <x:v>alsó sík of tető + acél tok / keret. Different felületképzési zóna - R2</x:v>
      </x:c>
    </x:row>
    <x:row r="26" ht="15" hidden="0">
      <x:c r="A26" s="5"/>
      <x:c r="B26" s="6" t="str">
        <x:v>AJTÓK</x:v>
      </x:c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</x:row>
    <x:row r="27" ht="15" hidden="0">
      <x:c r="A27" s="7" t="s">
        <x:v>19</x:v>
      </x:c>
      <x:c r="B27" s="8"/>
      <x:c r="C27" s="9" t="str">
        <x:v>D1 - Hollow acél ajtó (F5+F4+F1) tok / keret</x:v>
      </x:c>
      <x:c r="D27" s="7" t="str">
        <x:v>db</x:v>
      </x:c>
      <x:c r="E27" s="10"/>
      <x:c r="F27" s="10"/>
      <x:c r="G27" s="10"/>
      <x:c r="H27" s="10"/>
      <x:c r="I27" s="10"/>
      <x:c r="J27" s="10"/>
      <x:c r="K27" s="10"/>
      <x:c r="L27" s="10"/>
      <x:c r="M27" s="11" t="n">
        <x:f aca="0">SUM(E27:L27)</x:f>
        <x:v>0</x:v>
      </x:c>
      <x:c r="N27" s="12" t="str">
        <x:v>korróziógátló + olajfesték. External</x:v>
      </x:c>
    </x:row>
    <x:row r="28" ht="15" hidden="0">
      <x:c r="A28" s="7" t="s">
        <x:v>20</x:v>
      </x:c>
      <x:c r="B28" s="8"/>
      <x:c r="C28" s="9" t="str">
        <x:v>D2 - fém tok ajtó for inserting (F2+F4)</x:v>
      </x:c>
      <x:c r="D28" s="7" t="str">
        <x:v>db</x:v>
      </x:c>
      <x:c r="E28" s="10"/>
      <x:c r="F28" s="10"/>
      <x:c r="G28" s="10"/>
      <x:c r="H28" s="10"/>
      <x:c r="I28" s="10"/>
      <x:c r="J28" s="10"/>
      <x:c r="K28" s="10"/>
      <x:c r="L28" s="10"/>
      <x:c r="M28" s="11" t="n">
        <x:f aca="0">SUM(E28:L28)</x:f>
        <x:v>0</x:v>
      </x:c>
      <x:c r="N28" s="12" t="str">
        <x:v>Internal fém tok, festett felületképzés</x:v>
      </x:c>
    </x:row>
    <x:row r="29" ht="15" hidden="0">
      <x:c r="A29" s="7" t="s">
        <x:v>21</x:v>
      </x:c>
      <x:c r="B29" s="8"/>
      <x:c r="C29" s="9" t="str">
        <x:v>D3 - Laminated wood / honeycomb ajtó (L1+B1)</x:v>
      </x:c>
      <x:c r="D29" s="7" t="str">
        <x:v>db</x:v>
      </x:c>
      <x:c r="E29" s="10"/>
      <x:c r="F29" s="10"/>
      <x:c r="G29" s="10"/>
      <x:c r="H29" s="10"/>
      <x:c r="I29" s="10"/>
      <x:c r="J29" s="10"/>
      <x:c r="K29" s="10"/>
      <x:c r="L29" s="10"/>
      <x:c r="M29" s="11" t="n">
        <x:f aca="0">SUM(E29:L29)</x:f>
        <x:v>0</x:v>
      </x:c>
      <x:c r="N29" s="12" t="str">
        <x:v>fürdőszoba és belső megközelítés</x:v>
      </x:c>
    </x:row>
    <x:row r="30" ht="15" hidden="0">
      <x:c r="A30" s="7" t="s">
        <x:v>22</x:v>
      </x:c>
      <x:c r="B30" s="8"/>
      <x:c r="C30" s="9" t="str">
        <x:v>D4 - toló wood tároló / szekrény doors (L1+B1, 2 panels)</x:v>
      </x:c>
      <x:c r="D30" s="7" t="str">
        <x:v>db</x:v>
      </x:c>
      <x:c r="E30" s="10"/>
      <x:c r="F30" s="10"/>
      <x:c r="G30" s="10"/>
      <x:c r="H30" s="10"/>
      <x:c r="I30" s="10"/>
      <x:c r="J30" s="10"/>
      <x:c r="K30" s="10"/>
      <x:c r="L30" s="10"/>
      <x:c r="M30" s="11" t="n">
        <x:f aca="0">SUM(E30:L30)</x:f>
        <x:v>0</x:v>
      </x:c>
      <x:c r="N30" s="12" t="str">
        <x:v>szekrény / gépészeti akna hozzáférés. sín + görgők</x:v>
      </x:c>
    </x:row>
    <x:row r="31" ht="15" hidden="0">
      <x:c r="A31" s="7" t="s">
        <x:v>23</x:v>
      </x:c>
      <x:c r="B31" s="8"/>
      <x:c r="C31" s="9" t="str">
        <x:v>D5 - toló wood tároló / szekrény doors (L1+B1, 3 panels per opening)</x:v>
      </x:c>
      <x:c r="D31" s="7" t="str">
        <x:v>db</x:v>
      </x:c>
      <x:c r="E31" s="10"/>
      <x:c r="F31" s="10"/>
      <x:c r="G31" s="10"/>
      <x:c r="H31" s="10"/>
      <x:c r="I31" s="10"/>
      <x:c r="J31" s="10"/>
      <x:c r="K31" s="10"/>
      <x:c r="L31" s="10"/>
      <x:c r="M31" s="11" t="n">
        <x:f aca="0">SUM(E31:L31)</x:f>
        <x:v>0</x:v>
      </x:c>
      <x:c r="N31" s="12" t="str">
        <x:v>szekrény / gépészeti akna hozzáférés. szélesebb nyílás</x:v>
      </x:c>
    </x:row>
    <x:row r="32" ht="15" hidden="0">
      <x:c r="A32" s="7" t="s">
        <x:v>24</x:v>
      </x:c>
      <x:c r="B32" s="8"/>
      <x:c r="C32" s="9" t="str">
        <x:v>D6 - acél double ajtó (F1+F2+F4)</x:v>
      </x:c>
      <x:c r="D32" s="7" t="str">
        <x:v>db</x:v>
      </x:c>
      <x:c r="E32" s="10"/>
      <x:c r="F32" s="10"/>
      <x:c r="G32" s="10"/>
      <x:c r="H32" s="10"/>
      <x:c r="I32" s="10"/>
      <x:c r="J32" s="10"/>
      <x:c r="K32" s="10"/>
      <x:c r="L32" s="10"/>
      <x:c r="M32" s="11" t="n">
        <x:f aca="0">SUM(E32:L32)</x:f>
        <x:v>0</x:v>
      </x:c>
      <x:c r="N32" s="12" t="str">
        <x:v>Deposit area double ajtó</x:v>
      </x:c>
    </x:row>
    <x:row r="33" ht="15" hidden="0">
      <x:c r="A33" s="7" t="s">
        <x:v>25</x:v>
      </x:c>
      <x:c r="B33" s="8"/>
      <x:c r="C33" s="9" t="str">
        <x:v>D7 - acél szerelőajtó, egyszárnyú (F4+F1)</x:v>
      </x:c>
      <x:c r="D33" s="7" t="str">
        <x:v>db</x:v>
      </x:c>
      <x:c r="E33" s="10"/>
      <x:c r="F33" s="10"/>
      <x:c r="G33" s="10"/>
      <x:c r="H33" s="10"/>
      <x:c r="I33" s="10"/>
      <x:c r="J33" s="10"/>
      <x:c r="K33" s="10"/>
      <x:c r="L33" s="10"/>
      <x:c r="M33" s="11" t="n">
        <x:f aca="0">SUM(E33:L33)</x:f>
        <x:v>0</x:v>
      </x:c>
      <x:c r="N33" s="12" t="str">
        <x:v>személykapu access in fence</x:v>
      </x:c>
    </x:row>
    <x:row r="34" ht="22.350000381469727" hidden="0">
      <x:c r="A34" s="7" t="s">
        <x:v>26</x:v>
      </x:c>
      <x:c r="B34" s="8"/>
      <x:c r="C34" s="9" t="str">
        <x:v>M1 - Metal redőnykapu (garázs, motoros)</x:v>
      </x:c>
      <x:c r="D34" s="7" t="str">
        <x:v>db</x:v>
      </x:c>
      <x:c r="E34" s="10"/>
      <x:c r="F34" s="10"/>
      <x:c r="G34" s="10"/>
      <x:c r="H34" s="10"/>
      <x:c r="I34" s="10"/>
      <x:c r="J34" s="10"/>
      <x:c r="K34" s="10"/>
      <x:c r="L34" s="10"/>
      <x:c r="M34" s="11" t="n">
        <x:f aca="0">SUM(E34:L34)</x:f>
        <x:v>0</x:v>
      </x:c>
      <x:c r="N34" s="12" t="str">
        <x:v>motoros acél rolling redőny / kapulap ~3000mm széles. tartalmazza motor + vezérlés + lezárás</x:v>
      </x:c>
    </x:row>
    <x:row r="35" ht="15" hidden="0">
      <x:c r="A35" s="5"/>
      <x:c r="B35" s="6" t="str">
        <x:v>ABLAKOK</x:v>
      </x:c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</x:row>
    <x:row r="36" ht="15" hidden="0">
      <x:c r="A36" s="7" t="s">
        <x:v>27</x:v>
      </x:c>
      <x:c r="B36" s="8"/>
      <x:c r="C36" s="9" t="str">
        <x:v>W1 - Aluminium tok / keret, toló glass (G1 - 4mm), 1500x1328</x:v>
      </x:c>
      <x:c r="D36" s="7" t="str">
        <x:v>db</x:v>
      </x:c>
      <x:c r="E36" s="10"/>
      <x:c r="F36" s="10"/>
      <x:c r="G36" s="10"/>
      <x:c r="H36" s="10"/>
      <x:c r="I36" s="10"/>
      <x:c r="J36" s="10"/>
      <x:c r="K36" s="10"/>
      <x:c r="L36" s="10"/>
      <x:c r="M36" s="11" t="n">
        <x:f aca="0">SUM(E36:L36)</x:f>
        <x:v>0</x:v>
      </x:c>
      <x:c r="N36" s="12" t="str">
        <x:v>fürdőszoba ablak. 3 toló panels</x:v>
      </x:c>
    </x:row>
    <x:row r="37" ht="15" hidden="0">
      <x:c r="A37" s="7" t="s">
        <x:v>28</x:v>
      </x:c>
      <x:c r="B37" s="8"/>
      <x:c r="C37" s="9" t="str">
        <x:v>W2 - Aluminium tok / keret, toló glass (G1 - 4mm), 1607x1623</x:v>
      </x:c>
      <x:c r="D37" s="7" t="str">
        <x:v>db</x:v>
      </x:c>
      <x:c r="E37" s="10"/>
      <x:c r="F37" s="10"/>
      <x:c r="G37" s="10"/>
      <x:c r="H37" s="10"/>
      <x:c r="I37" s="10"/>
      <x:c r="J37" s="10"/>
      <x:c r="K37" s="10"/>
      <x:c r="L37" s="10"/>
      <x:c r="M37" s="11" t="n">
        <x:f aca="0">SUM(E37:L37)</x:f>
        <x:v>0</x:v>
      </x:c>
      <x:c r="N37" s="12" t="str">
        <x:v>Workbench ablak. 3 toló panels</x:v>
      </x:c>
    </x:row>
    <x:row r="38" ht="22.350000381469727" hidden="0">
      <x:c r="A38" s="7" t="s">
        <x:v>29</x:v>
      </x:c>
      <x:c r="B38" s="8"/>
      <x:c r="C38" s="9" t="str">
        <x:v>W3 - acél tok / keret, toló glass (G2 - 6mm), 1100x1426</x:v>
      </x:c>
      <x:c r="D38" s="7" t="str">
        <x:v>db</x:v>
      </x:c>
      <x:c r="E38" s="10"/>
      <x:c r="F38" s="10"/>
      <x:c r="G38" s="10"/>
      <x:c r="H38" s="10"/>
      <x:c r="I38" s="10"/>
      <x:c r="J38" s="10"/>
      <x:c r="K38" s="10"/>
      <x:c r="L38" s="10"/>
      <x:c r="M38" s="11" t="n">
        <x:f aca="0">SUM(E38:L38)</x:f>
        <x:v>0</x:v>
      </x:c>
      <x:c r="N38" s="12" t="str">
        <x:v>garázs ablak. Welded/anchored acél tok / keret, 6mm glass. Count = 3 db (qty multiplier)</x:v>
      </x:c>
    </x:row>
    <x:row r="39" ht="28.350000381469727" hidden="0">
      <x:c r="A39" s="5"/>
      <x:c r="B39" s="6" t="str">
        <x:v>ÜVEGEZETT FALAK / TOLÓAJTÓK</x:v>
      </x:c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</x:row>
    <x:row r="40" ht="15" hidden="0">
      <x:c r="A40" s="7" t="s">
        <x:v>30</x:v>
      </x:c>
      <x:c r="B40" s="8"/>
      <x:c r="C40" s="9" t="str">
        <x:v>üvegezett toló wall (large run)</x:v>
      </x:c>
      <x:c r="D40" s="7" t="s">
        <x:v>6</x:v>
      </x:c>
      <x:c r="E40" s="10"/>
      <x:c r="F40" s="10"/>
      <x:c r="G40" s="10"/>
      <x:c r="H40" s="10"/>
      <x:c r="I40" s="10"/>
      <x:c r="J40" s="10"/>
      <x:c r="K40" s="10"/>
      <x:c r="L40" s="10"/>
      <x:c r="M40" s="11" t="n">
        <x:f aca="0">SUM(E40:L40)</x:f>
        <x:v>0</x:v>
      </x:c>
      <x:c r="N40" s="12" t="str">
        <x:v>Larger üvegezett assembly - külön kezelendő from windows. m² of üvegezett area</x:v>
      </x:c>
    </x:row>
    <x:row r="41" ht="15" hidden="0">
      <x:c r="A41" s="5"/>
      <x:c r="B41" s="6" t="str">
        <x:v>TETŐFEDÉSEK / TETŐRÉTEGEK</x:v>
      </x:c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</x:row>
    <x:row r="42" ht="15" hidden="0">
      <x:c r="A42" s="7" t="s">
        <x:v>31</x:v>
      </x:c>
      <x:c r="B42" s="8"/>
      <x:c r="C42" s="9" t="str">
        <x:v>R1 - Corrugated acél tető sheeting</x:v>
      </x:c>
      <x:c r="D42" s="7" t="s">
        <x:v>6</x:v>
      </x:c>
      <x:c r="E42" s="10"/>
      <x:c r="F42" s="10"/>
      <x:c r="G42" s="10"/>
      <x:c r="H42" s="10"/>
      <x:c r="I42" s="10"/>
      <x:c r="J42" s="10"/>
      <x:c r="K42" s="10"/>
      <x:c r="L42" s="10"/>
      <x:c r="M42" s="11" t="n">
        <x:f aca="0">SUM(E42:L42)</x:f>
        <x:v>0</x:v>
      </x:c>
      <x:c r="N42" s="12" t="str">
        <x:v>Measure rétegen slope, not plan. Pitch from section</x:v>
      </x:c>
    </x:row>
    <x:row r="43" ht="15" hidden="0">
      <x:c r="A43" s="7" t="s">
        <x:v>32</x:v>
      </x:c>
      <x:c r="B43" s="8"/>
      <x:c r="C43" s="9" t="s">
        <x:v>33</x:v>
      </x:c>
      <x:c r="D43" s="7" t="str">
        <x:v>fm</x:v>
      </x:c>
      <x:c r="E43" s="10"/>
      <x:c r="F43" s="10"/>
      <x:c r="G43" s="10"/>
      <x:c r="H43" s="10"/>
      <x:c r="I43" s="10"/>
      <x:c r="J43" s="10"/>
      <x:c r="K43" s="10"/>
      <x:c r="L43" s="10"/>
      <x:c r="M43" s="11" t="n">
        <x:f aca="0">SUM(E43:L43)</x:f>
        <x:v>0</x:v>
      </x:c>
      <x:c r="N43" s="12" t="s">
        <x:v>34</x:v>
      </x:c>
    </x:row>
    <x:row r="44" ht="15" hidden="0">
      <x:c r="A44" s="7" t="s">
        <x:v>35</x:v>
      </x:c>
      <x:c r="B44" s="8"/>
      <x:c r="C44" s="9" t="str">
        <x:v>Downpipes (count + fm)</x:v>
      </x:c>
      <x:c r="D44" s="7" t="str">
        <x:v>db</x:v>
      </x:c>
      <x:c r="E44" s="10"/>
      <x:c r="F44" s="10"/>
      <x:c r="G44" s="10"/>
      <x:c r="H44" s="10"/>
      <x:c r="I44" s="10"/>
      <x:c r="J44" s="10"/>
      <x:c r="K44" s="10"/>
      <x:c r="L44" s="10"/>
      <x:c r="M44" s="11" t="n">
        <x:f aca="0">SUM(E44:L44)</x:f>
        <x:v>0</x:v>
      </x:c>
      <x:c r="N44" s="12" t="str">
        <x:v> outlet. fm in assembly = building magasság</x:v>
      </x:c>
    </x:row>
    <x:row r="45" ht="28.350000381469727" hidden="0">
      <x:c r="A45" s="5"/>
      <x:c r="B45" s="6" t="str">
        <x:v>KÜLSŐ MUNKÁK - KERÍTÉSEK ÉS KAPUK</x:v>
      </x:c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</x:row>
    <x:row r="46" ht="15" hidden="0">
      <x:c r="A46" s="7" t="s">
        <x:v>36</x:v>
      </x:c>
      <x:c r="B46" s="8"/>
      <x:c r="C46" s="9" t="str">
        <x:v>Fixed acél fence - F4+F1 (1500mm magas)</x:v>
      </x:c>
      <x:c r="D46" s="7" t="str">
        <x:v>fm</x:v>
      </x:c>
      <x:c r="E46" s="10"/>
      <x:c r="F46" s="10"/>
      <x:c r="G46" s="10"/>
      <x:c r="H46" s="10"/>
      <x:c r="I46" s="10"/>
      <x:c r="J46" s="10"/>
      <x:c r="K46" s="10"/>
      <x:c r="L46" s="10"/>
      <x:c r="M46" s="11" t="n">
        <x:f aca="0">SUM(E46:L46)</x:f>
        <x:v>0</x:v>
      </x:c>
      <x:c r="N46" s="12" t="str">
        <x:v>korróziógátló festék, oil base. Posts + sínek + infill</x:v>
      </x:c>
    </x:row>
    <x:row r="47" ht="15" hidden="0">
      <x:c r="A47" s="7" t="s">
        <x:v>37</x:v>
      </x:c>
      <x:c r="B47" s="8"/>
      <x:c r="C47" s="9" t="str">
        <x:v>toló kerítéspanel (motoros, járműkapu)</x:v>
      </x:c>
      <x:c r="D47" s="7" t="str">
        <x:v>db</x:v>
      </x:c>
      <x:c r="E47" s="10"/>
      <x:c r="F47" s="10"/>
      <x:c r="G47" s="10"/>
      <x:c r="H47" s="10"/>
      <x:c r="I47" s="10"/>
      <x:c r="J47" s="10"/>
      <x:c r="K47" s="10"/>
      <x:c r="L47" s="10"/>
      <x:c r="M47" s="11" t="n">
        <x:f aca="0">SUM(E47:L47)</x:f>
        <x:v>0</x:v>
      </x:c>
      <x:c r="N47" s="12" t="str">
        <x:v>toló fence section. ~3.6m. tartalmazza motor + electrical lezárás</x:v>
      </x:c>
    </x:row>
    <x:row r="48" ht="15" hidden="0">
      <x:c r="A48" s="7" t="s">
        <x:v>38</x:v>
      </x:c>
      <x:c r="B48" s="8"/>
      <x:c r="C48" s="9" t="s">
        <x:v>39</x:v>
      </x:c>
      <x:c r="D48" s="7" t="str">
        <x:v>db</x:v>
      </x:c>
      <x:c r="E48" s="10"/>
      <x:c r="F48" s="10"/>
      <x:c r="G48" s="10"/>
      <x:c r="H48" s="10"/>
      <x:c r="I48" s="10"/>
      <x:c r="J48" s="10"/>
      <x:c r="K48" s="10"/>
      <x:c r="L48" s="10"/>
      <x:c r="M48" s="11" t="n">
        <x:f aca="0">SUM(E48:L48)</x:f>
        <x:v>0</x:v>
      </x:c>
      <x:c r="N48" s="12" t="s">
        <x:v>40</x:v>
      </x:c>
    </x:row>
    <x:row r="49" ht="15" hidden="0">
      <x:c r="A49" s="5"/>
      <x:c r="B49" s="6" t="str">
        <x:v>EGYÉB TÉTELEK</x:v>
      </x:c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</x:row>
    <x:row r="50" ht="15" hidden="0">
      <x:c r="A50" s="7" t="s">
        <x:v>41</x:v>
      </x:c>
      <x:c r="B50" s="8"/>
      <x:c r="C50" s="9" t="str">
        <x:v>szilikon / tömítőanyag (általános - if not in assemblies)</x:v>
      </x:c>
      <x:c r="D50" s="7" t="str">
        <x:v>fm</x:v>
      </x:c>
      <x:c r="E50" s="10"/>
      <x:c r="F50" s="10"/>
      <x:c r="G50" s="10"/>
      <x:c r="H50" s="10"/>
      <x:c r="I50" s="10"/>
      <x:c r="J50" s="10"/>
      <x:c r="K50" s="10"/>
      <x:c r="L50" s="10"/>
      <x:c r="M50" s="11" t="n">
        <x:f aca="0">SUM(E50:L50)</x:f>
        <x:v>0</x:v>
      </x:c>
      <x:c r="N50" s="12" t="str">
        <x:v>gyűjtő tétel - most szilikon is belső oldalon wall/ajtó/ablak assemblies</x:v>
      </x:c>
    </x:row>
    <x:row r="51" ht="15" hidden="0">
      <x:c r="A51" s="7" t="s">
        <x:v>42</x:v>
      </x:c>
      <x:c r="B51" s="8"/>
      <x:c r="C51" s="9" t="s">
        <x:v>43</x:v>
      </x:c>
      <x:c r="D51" s="7" t="s">
        <x:v>6</x:v>
      </x:c>
      <x:c r="E51" s="10"/>
      <x:c r="F51" s="10"/>
      <x:c r="G51" s="10"/>
      <x:c r="H51" s="10"/>
      <x:c r="I51" s="10"/>
      <x:c r="J51" s="10"/>
      <x:c r="K51" s="10"/>
      <x:c r="L51" s="10"/>
      <x:c r="M51" s="11" t="n">
        <x:f aca="0">SUM(E51:L51)</x:f>
        <x:v>0</x:v>
      </x:c>
      <x:c r="N51" s="12" t="str">
        <x:v>összes belső padlófelület</x:v>
      </x:c>
    </x:row>
    <x:row r="52" ht="15" hidden="0">
      <x:c r="A52" s="7" t="s">
        <x:v>44</x:v>
      </x:c>
      <x:c r="B52" s="8"/>
      <x:c r="C52" s="9" t="str">
        <x:v>Pre-handover defects ráhagyás</x:v>
      </x:c>
      <x:c r="D52" s="7" t="str">
        <x:v>Összesen</x:v>
      </x:c>
      <x:c r="E52" s="10"/>
      <x:c r="F52" s="10"/>
      <x:c r="G52" s="10"/>
      <x:c r="H52" s="10"/>
      <x:c r="I52" s="10"/>
      <x:c r="J52" s="10"/>
      <x:c r="K52" s="10"/>
      <x:c r="L52" s="10"/>
      <x:c r="M52" s="11" t="n">
        <x:f aca="0">SUM(E52:L52)</x:f>
        <x:v>0</x:v>
      </x:c>
      <x:c r="N52" s="12" t="s">
        <x:v>45</x:v>
      </x:c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12" hidden="0" customWidth="1"/>
    <x:col min="2" max="2" width="50" hidden="0" customWidth="1"/>
    <x:col min="3" max="3" width="8" hidden="0" customWidth="1"/>
    <x:col min="4" max="6" width="10" hidden="0" customWidth="1"/>
    <x:col min="7" max="7" width="12" hidden="0" customWidth="1"/>
    <x:col min="8" max="9" width="14" hidden="0" customWidth="1"/>
    <x:col min="10" max="10" width="30" hidden="0" customWidth="1"/>
  </x:cols>
  <x:sheetData>
    <x:row r="1" ht="20.850000381469727" hidden="0" customHeight="1">
      <x:c r="A1" s="1" t="str">
        <x:v>ÉPÍTÉSZETI ASSEMBLY-K - MENNYISÉGI KIMUTATÁS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15" hidden="0">
      <x:c r="A2" s="13" t="str">
        <x:v>primer quantities link - the Architectural QTO sheet. Adjust egységárak és component fajlagosok - suit your project.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hidden="0" customHeight="1">
      <x:c r="A4" s="3" t="s">
        <x:v>46</x:v>
      </x:c>
      <x:c r="B4" s="3" t="str">
        <x:v>Komponens megnevezése</x:v>
      </x:c>
      <x:c r="C4" s="3" t="str">
        <x:v>Mértékegység</x:v>
      </x:c>
      <x:c r="D4" s="3" t="str">
        <x:v>Fajlagos /
primer mennyiség</x:v>
      </x:c>
      <x:c r="E4" s="3" t="str">
        <x:v>Primer
mennyiség</x:v>
      </x:c>
      <x:c r="F4" s="3" t="s">
        <x:v>47</x:v>
      </x:c>
      <x:c r="G4" s="3" t="str">
        <x:v>Egységár</x:v>
      </x:c>
      <x:c r="H4" s="3" t="str">
        <x:v>Összes költség</x:v>
      </x:c>
      <x:c r="I4" s="3" t="str">
        <x:v>Szakág / munkanem</x:v>
      </x:c>
      <x:c r="J4" s="3" t="str">
        <x:v>Megjegyzés</x:v>
      </x:c>
    </x:row>
    <x:row r="6" ht="15" hidden="0">
      <x:c r="J6" s="14" t="s">
        <x:v>48</x:v>
      </x:c>
    </x:row>
    <x:row r="7" ht="15" hidden="0">
      <x:c r="A7" s="15" t="s">
        <x:v>49</x:v>
      </x:c>
      <x:c r="B7" s="16" t="str">
        <x:v>Külső blokkfal - W3 (vakolt + festett, 200mm, 3.0m magas)</x:v>
      </x:c>
      <x:c r="C7" s="15" t="str">
        <x:v>fm</x:v>
      </x:c>
      <x:c r="D7" s="15" t="n">
        <x:v>1</x:v>
      </x:c>
      <x:c r="E7" s="17" t="n">
        <x:v>0</x:v>
      </x:c>
      <x:c r="F7" s="18" t="n">
        <x:f aca="0">D7*E7</x:f>
        <x:v>0</x:v>
      </x:c>
      <x:c r="G7" s="19" t="n">
        <x:v>0</x:v>
      </x:c>
      <x:c r="H7" s="20" t="n">
        <x:f aca="0">F7*G7</x:f>
        <x:v>0</x:v>
      </x:c>
    </x:row>
    <x:row r="8" ht="15" hidden="0">
      <x:c r="A8" s="8"/>
      <x:c r="B8" s="21" t="str">
        <x:v>falazóelem (200mm üreges beton)</x:v>
      </x:c>
      <x:c r="C8" s="7" t="str">
        <x:v>db</x:v>
      </x:c>
      <x:c r="D8" s="22" t="n">
        <x:v>12.5</x:v>
      </x:c>
      <x:c r="E8" s="23" t="n">
        <x:f aca="0">E7</x:f>
        <x:v>0</x:v>
      </x:c>
      <x:c r="F8" s="23" t="n">
        <x:f aca="0">D8*E8</x:f>
        <x:v>0</x:v>
      </x:c>
      <x:c r="G8" s="24" t="n">
        <x:v>0</x:v>
      </x:c>
      <x:c r="H8" s="25" t="n">
        <x:f aca="0">F8*G8</x:f>
        <x:v>0</x:v>
      </x:c>
      <x:c r="I8" s="7" t="str">
        <x:v>Anyag</x:v>
      </x:c>
      <x:c r="J8" s="12" t="str">
        <x:v>~12.5 falazóelem folyóméterenként × 3m magasság</x:v>
      </x:c>
    </x:row>
    <x:row r="9" ht="15" hidden="0">
      <x:c r="A9" s="8"/>
      <x:c r="B9" s="21" t="str">
        <x:v>habarcs (sand:cement:lime)</x:v>
      </x:c>
      <x:c r="C9" s="7" t="s">
        <x:v>50</x:v>
      </x:c>
      <x:c r="D9" s="22" t="n">
        <x:v>0.04</x:v>
      </x:c>
      <x:c r="E9" s="23" t="n">
        <x:f aca="0">E7</x:f>
        <x:v>0</x:v>
      </x:c>
      <x:c r="F9" s="23" t="n">
        <x:f aca="0">D9*E9</x:f>
        <x:v>0</x:v>
      </x:c>
      <x:c r="G9" s="24" t="n">
        <x:v>0</x:v>
      </x:c>
      <x:c r="H9" s="25" t="n">
        <x:f aca="0">F9*G9</x:f>
        <x:v>0</x:v>
      </x:c>
      <x:c r="I9" s="7" t="str">
        <x:v>Anyag</x:v>
      </x:c>
      <x:c r="J9" s="12" t="str">
        <x:v>~40 L folyóméterenként at 3m magasság</x:v>
      </x:c>
    </x:row>
    <x:row r="10" ht="15" hidden="0">
      <x:c r="A10" s="8"/>
      <x:c r="B10" s="21" t="str">
        <x:v>vasalás - függőleges N12 (kitöltött üregek)</x:v>
      </x:c>
      <x:c r="C10" s="7" t="s">
        <x:v>51</x:v>
      </x:c>
      <x:c r="D10" s="22" t="n">
        <x:v>4.5</x:v>
      </x:c>
      <x:c r="E10" s="23" t="n">
        <x:f aca="0">E7</x:f>
        <x:v>0</x:v>
      </x:c>
      <x:c r="F10" s="23" t="n">
        <x:f aca="0">D10*E10</x:f>
        <x:v>0</x:v>
      </x:c>
      <x:c r="G10" s="24" t="n">
        <x:v>0</x:v>
      </x:c>
      <x:c r="H10" s="25" t="n">
        <x:f aca="0">F10*G10</x:f>
        <x:v>0</x:v>
      </x:c>
      <x:c r="I10" s="7" t="str">
        <x:v>Acél</x:v>
      </x:c>
      <x:c r="J10" s="12" t="s">
        <x:v>52</x:v>
      </x:c>
    </x:row>
    <x:row r="11" ht="15" hidden="0">
      <x:c r="A11" s="8"/>
      <x:c r="B11" s="21" t="str">
        <x:v>falazóelem feltöltés kiöntőhabarcs (függőleges cores)</x:v>
      </x:c>
      <x:c r="C11" s="7" t="s">
        <x:v>50</x:v>
      </x:c>
      <x:c r="D11" s="22" t="n">
        <x:v>0.012</x:v>
      </x:c>
      <x:c r="E11" s="23" t="n">
        <x:f aca="0">E7</x:f>
        <x:v>0</x:v>
      </x:c>
      <x:c r="F11" s="23" t="n">
        <x:f aca="0">D11*E11</x:f>
        <x:v>0</x:v>
      </x:c>
      <x:c r="G11" s="24" t="n">
        <x:v>0</x:v>
      </x:c>
      <x:c r="H11" s="25" t="n">
        <x:f aca="0">F11*G11</x:f>
        <x:v>0</x:v>
      </x:c>
      <x:c r="I11" s="7" t="str">
        <x:v>Beton</x:v>
      </x:c>
      <x:c r="J11" s="12" t="str">
        <x:v>Wet feltöltés cells</x:v>
      </x:c>
    </x:row>
    <x:row r="12" ht="15" hidden="0">
      <x:c r="A12" s="8"/>
      <x:c r="B12" s="21" t="str">
        <x:v>áthidalók (ráhagyás folyóméterenként)</x:v>
      </x:c>
      <x:c r="C12" s="7" t="str">
        <x:v>db</x:v>
      </x:c>
      <x:c r="D12" s="22" t="n">
        <x:v>0.05</x:v>
      </x:c>
      <x:c r="E12" s="23" t="n">
        <x:f aca="0">E7</x:f>
        <x:v>0</x:v>
      </x:c>
      <x:c r="F12" s="23" t="n">
        <x:f aca="0">D12*E12</x:f>
        <x:v>0</x:v>
      </x:c>
      <x:c r="G12" s="24" t="n">
        <x:v>0</x:v>
      </x:c>
      <x:c r="H12" s="25" t="n">
        <x:f aca="0">F12*G12</x:f>
        <x:v>0</x:v>
      </x:c>
      <x:c r="I12" s="7" t="str">
        <x:v>Anyag</x:v>
      </x:c>
      <x:c r="J12" s="12" t="str">
        <x:v>arányosítva. Most fm has no opening</x:v>
      </x:c>
    </x:row>
    <x:row r="13" ht="15" hidden="0">
      <x:c r="A13" s="8"/>
      <x:c r="B13" s="21" t="str">
        <x:v>talajnedvesség elleni szigetelés (base course)</x:v>
      </x:c>
      <x:c r="C13" s="7" t="str">
        <x:v>fm</x:v>
      </x:c>
      <x:c r="D13" s="22" t="n">
        <x:v>1</x:v>
      </x:c>
      <x:c r="E13" s="23" t="n">
        <x:f aca="0">E7</x:f>
        <x:v>0</x:v>
      </x:c>
      <x:c r="F13" s="23" t="n">
        <x:f aca="0">D13*E13</x:f>
        <x:v>0</x:v>
      </x:c>
      <x:c r="G13" s="24" t="n">
        <x:v>0</x:v>
      </x:c>
      <x:c r="H13" s="25" t="n">
        <x:f aca="0">F13*G13</x:f>
        <x:v>0</x:v>
      </x:c>
      <x:c r="I13" s="7" t="str">
        <x:v>Anyag</x:v>
      </x:c>
      <x:c r="J13" s="12" t="str">
        <x:v>folyamatos</x:v>
      </x:c>
    </x:row>
    <x:row r="14" ht="15" hidden="0">
      <x:c r="A14" s="8"/>
      <x:c r="B14" s="21" t="str">
        <x:v>falbekötők / indítóvasak</x:v>
      </x:c>
      <x:c r="C14" s="7" t="str">
        <x:v>db</x:v>
      </x:c>
      <x:c r="D14" s="22" t="n">
        <x:v>4</x:v>
      </x:c>
      <x:c r="E14" s="23" t="n">
        <x:f aca="0">E7</x:f>
        <x:v>0</x:v>
      </x:c>
      <x:c r="F14" s="23" t="n">
        <x:f aca="0">D14*E14</x:f>
        <x:v>0</x:v>
      </x:c>
      <x:c r="G14" s="24" t="n">
        <x:v>0</x:v>
      </x:c>
      <x:c r="H14" s="25" t="n">
        <x:f aca="0">F14*G14</x:f>
        <x:v>0</x:v>
      </x:c>
      <x:c r="I14" s="7" t="str">
        <x:v>Acél</x:v>
      </x:c>
      <x:c r="J14" s="12" t="str">
        <x:v>At corners és junctions</x:v>
      </x:c>
    </x:row>
    <x:row r="15" ht="15" hidden="0">
      <x:c r="A15" s="8"/>
      <x:c r="B15" s="21" t="str">
        <x:v>External vakolat (3m × 1m felület)</x:v>
      </x:c>
      <x:c r="C15" s="7" t="s">
        <x:v>6</x:v>
      </x:c>
      <x:c r="D15" s="22" t="n">
        <x:v>3</x:v>
      </x:c>
      <x:c r="E15" s="23" t="n">
        <x:f aca="0">E7</x:f>
        <x:v>0</x:v>
      </x:c>
      <x:c r="F15" s="23" t="n">
        <x:f aca="0">D15*E15</x:f>
        <x:v>0</x:v>
      </x:c>
      <x:c r="G15" s="24" t="n">
        <x:v>0</x:v>
      </x:c>
      <x:c r="H15" s="25" t="n">
        <x:f aca="0">F15*G15</x:f>
        <x:v>0</x:v>
      </x:c>
      <x:c r="I15" s="7" t="str">
        <x:v>Vakolat</x:v>
      </x:c>
      <x:c r="J15" s="12" t="str">
        <x:v>külső oldali felület × 3m magasság</x:v>
      </x:c>
    </x:row>
    <x:row r="16" ht="15" hidden="0">
      <x:c r="A16" s="8"/>
      <x:c r="B16" s="21" t="str">
        <x:v>Internal vakolat (3m × 1m felület)</x:v>
      </x:c>
      <x:c r="C16" s="7" t="s">
        <x:v>6</x:v>
      </x:c>
      <x:c r="D16" s="22" t="n">
        <x:v>3</x:v>
      </x:c>
      <x:c r="E16" s="23" t="n">
        <x:f aca="0">E7</x:f>
        <x:v>0</x:v>
      </x:c>
      <x:c r="F16" s="23" t="n">
        <x:f aca="0">D16*E16</x:f>
        <x:v>0</x:v>
      </x:c>
      <x:c r="G16" s="24" t="n">
        <x:v>0</x:v>
      </x:c>
      <x:c r="H16" s="25" t="n">
        <x:f aca="0">F16*G16</x:f>
        <x:v>0</x:v>
      </x:c>
      <x:c r="I16" s="7" t="str">
        <x:v>Vakolat</x:v>
      </x:c>
      <x:c r="J16" s="12" t="str">
        <x:v>belső oldali felület × 3m</x:v>
      </x:c>
    </x:row>
    <x:row r="17" ht="22.350000381469727" hidden="0">
      <x:c r="A17" s="8"/>
      <x:c r="B17" s="21" t="str">
        <x:v>External festék - primer + 2 rétegek oil</x:v>
      </x:c>
      <x:c r="C17" s="7" t="s">
        <x:v>6</x:v>
      </x:c>
      <x:c r="D17" s="22" t="n">
        <x:v>3</x:v>
      </x:c>
      <x:c r="E17" s="23" t="n">
        <x:f aca="0">E7</x:f>
        <x:v>0</x:v>
      </x:c>
      <x:c r="F17" s="23" t="n">
        <x:f aca="0">D17*E17</x:f>
        <x:v>0</x:v>
      </x:c>
      <x:c r="G17" s="24" t="n">
        <x:v>0</x:v>
      </x:c>
      <x:c r="H17" s="25" t="n">
        <x:f aca="0">F17*G17</x:f>
        <x:v>0</x:v>
      </x:c>
      <x:c r="I17" s="7" t="str">
        <x:v>Festés</x:v>
      </x:c>
      <x:c r="J17" s="12" t="str">
        <x:v>külső oldali felület. tartalmazza 6% levonás at nyílások</x:v>
      </x:c>
    </x:row>
    <x:row r="18" ht="22.350000381469727" hidden="0">
      <x:c r="A18" s="8"/>
      <x:c r="B18" s="21" t="str">
        <x:v>Internal festék - primer + 2 rétegek vizes bázisú</x:v>
      </x:c>
      <x:c r="C18" s="7" t="s">
        <x:v>6</x:v>
      </x:c>
      <x:c r="D18" s="22" t="n">
        <x:v>3</x:v>
      </x:c>
      <x:c r="E18" s="23" t="n">
        <x:f aca="0">E7</x:f>
        <x:v>0</x:v>
      </x:c>
      <x:c r="F18" s="23" t="n">
        <x:f aca="0">D18*E18</x:f>
        <x:v>0</x:v>
      </x:c>
      <x:c r="G18" s="24" t="n">
        <x:v>0</x:v>
      </x:c>
      <x:c r="H18" s="25" t="n">
        <x:f aca="0">F18*G18</x:f>
        <x:v>0</x:v>
      </x:c>
      <x:c r="I18" s="7" t="str">
        <x:v>Festés</x:v>
      </x:c>
      <x:c r="J18" s="12" t="str">
        <x:v>belső oldali felület. tartalmazza 6% levonás at nyílások</x:v>
      </x:c>
    </x:row>
    <x:row r="19" ht="15" hidden="0">
      <x:c r="A19" s="8"/>
      <x:c r="B19" s="21" t="str">
        <x:v>Labour - falazóelem layer</x:v>
      </x:c>
      <x:c r="C19" s="7" t="str">
        <x:v>óra</x:v>
      </x:c>
      <x:c r="D19" s="22" t="n">
        <x:v>0.6</x:v>
      </x:c>
      <x:c r="E19" s="23" t="n">
        <x:f aca="0">E7</x:f>
        <x:v>0</x:v>
      </x:c>
      <x:c r="F19" s="23" t="n">
        <x:f aca="0">D19*E19</x:f>
        <x:v>0</x:v>
      </x:c>
      <x:c r="G19" s="24" t="n">
        <x:v>0</x:v>
      </x:c>
      <x:c r="H19" s="25" t="n">
        <x:f aca="0">F19*G19</x:f>
        <x:v>0</x:v>
      </x:c>
      <x:c r="I19" s="7" t="str">
        <x:v>Munkaerő</x:v>
      </x:c>
      <x:c r="J19" s="12" t="str">
        <x:v>~0.6 hr folyóméterenként at 3m magasság</x:v>
      </x:c>
    </x:row>
    <x:row r="20" ht="15" hidden="0">
      <x:c r="A20" s="8"/>
      <x:c r="B20" s="21" t="str">
        <x:v>Labour - labourer (falazóelem)</x:v>
      </x:c>
      <x:c r="C20" s="7" t="str">
        <x:v>óra</x:v>
      </x:c>
      <x:c r="D20" s="22" t="n">
        <x:v>0.6</x:v>
      </x:c>
      <x:c r="E20" s="23" t="n">
        <x:f aca="0">E7</x:f>
        <x:v>0</x:v>
      </x:c>
      <x:c r="F20" s="23" t="n">
        <x:f aca="0">D20*E20</x:f>
        <x:v>0</x:v>
      </x:c>
      <x:c r="G20" s="24" t="n">
        <x:v>0</x:v>
      </x:c>
      <x:c r="H20" s="25" t="n">
        <x:f aca="0">F20*G20</x:f>
        <x:v>0</x:v>
      </x:c>
      <x:c r="I20" s="7" t="str">
        <x:v>Munkaerő</x:v>
      </x:c>
      <x:c r="J20" s="12"/>
    </x:row>
    <x:row r="21" ht="15" hidden="0">
      <x:c r="A21" s="8"/>
      <x:c r="B21" s="21" t="str">
        <x:v>Labour - vakolat hand</x:v>
      </x:c>
      <x:c r="C21" s="7" t="str">
        <x:v>óra</x:v>
      </x:c>
      <x:c r="D21" s="22" t="n">
        <x:v>0.5</x:v>
      </x:c>
      <x:c r="E21" s="23" t="n">
        <x:f aca="0">E7</x:f>
        <x:v>0</x:v>
      </x:c>
      <x:c r="F21" s="23" t="n">
        <x:f aca="0">D21*E21</x:f>
        <x:v>0</x:v>
      </x:c>
      <x:c r="G21" s="24" t="n">
        <x:v>0</x:v>
      </x:c>
      <x:c r="H21" s="25" t="n">
        <x:f aca="0">F21*G21</x:f>
        <x:v>0</x:v>
      </x:c>
      <x:c r="I21" s="7" t="str">
        <x:v>Munkaerő</x:v>
      </x:c>
      <x:c r="J21" s="12" t="s">
        <x:v>53</x:v>
      </x:c>
    </x:row>
    <x:row r="22" ht="15" hidden="0">
      <x:c r="A22" s="8"/>
      <x:c r="B22" s="21" t="s">
        <x:v>54</x:v>
      </x:c>
      <x:c r="C22" s="7" t="str">
        <x:v>óra</x:v>
      </x:c>
      <x:c r="D22" s="22" t="n">
        <x:v>0.4</x:v>
      </x:c>
      <x:c r="E22" s="23" t="n">
        <x:f aca="0">E7</x:f>
        <x:v>0</x:v>
      </x:c>
      <x:c r="F22" s="23" t="n">
        <x:f aca="0">D22*E22</x:f>
        <x:v>0</x:v>
      </x:c>
      <x:c r="G22" s="24" t="n">
        <x:v>0</x:v>
      </x:c>
      <x:c r="H22" s="25" t="n">
        <x:f aca="0">F22*G22</x:f>
        <x:v>0</x:v>
      </x:c>
      <x:c r="I22" s="7" t="str">
        <x:v>Munkaerő</x:v>
      </x:c>
      <x:c r="J22" s="12" t="s">
        <x:v>53</x:v>
      </x:c>
    </x:row>
    <x:row r="23" ht="15" hidden="0">
      <x:c r="A23" s="8"/>
      <x:c r="B23" s="21" t="str">
        <x:v>Scaffold / access (ráhagyás)</x:v>
      </x:c>
      <x:c r="C23" s="7" t="str">
        <x:v>fm</x:v>
      </x:c>
      <x:c r="D23" s="22" t="n">
        <x:v>1</x:v>
      </x:c>
      <x:c r="E23" s="23" t="n">
        <x:f aca="0">E7</x:f>
        <x:v>0</x:v>
      </x:c>
      <x:c r="F23" s="23" t="n">
        <x:f aca="0">D23*E23</x:f>
        <x:v>0</x:v>
      </x:c>
      <x:c r="G23" s="24" t="n">
        <x:v>0</x:v>
      </x:c>
      <x:c r="H23" s="25" t="n">
        <x:f aca="0">F23*G23</x:f>
        <x:v>0</x:v>
      </x:c>
      <x:c r="I23" s="7" t="str">
        <x:v>Gép</x:v>
      </x:c>
      <x:c r="J23" s="12" t="str">
        <x:v>arányosítva at full magasság</x:v>
      </x:c>
    </x:row>
    <x:row r="24" ht="15" hidden="0">
      <x:c r="A24" s="26"/>
      <x:c r="B24" s="27" t="s">
        <x:v>55</x:v>
      </x:c>
      <x:c r="C24" s="26"/>
      <x:c r="D24" s="26"/>
      <x:c r="E24" s="26"/>
      <x:c r="F24" s="26"/>
      <x:c r="G24" s="26"/>
      <x:c r="H24" s="28" t="n">
        <x:f aca="0">SUM(H8:H23)</x:f>
        <x:v>0</x:v>
      </x:c>
      <x:c r="I24" s="26"/>
      <x:c r="J24" s="26"/>
    </x:row>
    <x:row r="26" ht="15" hidden="0">
      <x:c r="J26" s="14" t="s">
        <x:v>56</x:v>
      </x:c>
    </x:row>
    <x:row r="27" ht="15" hidden="0">
      <x:c r="A27" s="15" t="s">
        <x:v>49</x:v>
      </x:c>
      <x:c r="B27" s="16" t="str">
        <x:v>Fürdőszobai vizes fal - W2 (falazóelem, vakolat + festék külső oldalon, vakolat + burkolólap belső oldalon, 3.0m magas)</x:v>
      </x:c>
      <x:c r="C27" s="15" t="str">
        <x:v>fm</x:v>
      </x:c>
      <x:c r="D27" s="15" t="n">
        <x:v>1</x:v>
      </x:c>
      <x:c r="E27" s="17" t="n">
        <x:v>0</x:v>
      </x:c>
      <x:c r="F27" s="18" t="n">
        <x:f aca="0">D27*E27</x:f>
        <x:v>0</x:v>
      </x:c>
      <x:c r="G27" s="19" t="n">
        <x:v>0</x:v>
      </x:c>
      <x:c r="H27" s="20" t="n">
        <x:f aca="0">F27*G27</x:f>
        <x:v>0</x:v>
      </x:c>
    </x:row>
    <x:row r="28" ht="15" hidden="0">
      <x:c r="A28" s="8"/>
      <x:c r="B28" s="21" t="str">
        <x:v>falazóelem (200mm)</x:v>
      </x:c>
      <x:c r="C28" s="7" t="str">
        <x:v>db</x:v>
      </x:c>
      <x:c r="D28" s="22" t="n">
        <x:v>12.5</x:v>
      </x:c>
      <x:c r="E28" s="23" t="n">
        <x:f aca="0">E27</x:f>
        <x:v>0</x:v>
      </x:c>
      <x:c r="F28" s="23" t="n">
        <x:f aca="0">D28*E28</x:f>
        <x:v>0</x:v>
      </x:c>
      <x:c r="G28" s="24" t="n">
        <x:v>0</x:v>
      </x:c>
      <x:c r="H28" s="25" t="n">
        <x:f aca="0">F28*G28</x:f>
        <x:v>0</x:v>
      </x:c>
      <x:c r="I28" s="7" t="str">
        <x:v>Anyag</x:v>
      </x:c>
      <x:c r="J28" s="12"/>
    </x:row>
    <x:row r="29" ht="15" hidden="0">
      <x:c r="A29" s="8"/>
      <x:c r="B29" s="21" t="str">
        <x:v>habarcs</x:v>
      </x:c>
      <x:c r="C29" s="7" t="s">
        <x:v>50</x:v>
      </x:c>
      <x:c r="D29" s="22" t="n">
        <x:v>0.04</x:v>
      </x:c>
      <x:c r="E29" s="23" t="n">
        <x:f aca="0">E27</x:f>
        <x:v>0</x:v>
      </x:c>
      <x:c r="F29" s="23" t="n">
        <x:f aca="0">D29*E29</x:f>
        <x:v>0</x:v>
      </x:c>
      <x:c r="G29" s="24" t="n">
        <x:v>0</x:v>
      </x:c>
      <x:c r="H29" s="25" t="n">
        <x:f aca="0">F29*G29</x:f>
        <x:v>0</x:v>
      </x:c>
      <x:c r="I29" s="7" t="str">
        <x:v>Anyag</x:v>
      </x:c>
      <x:c r="J29" s="12"/>
    </x:row>
    <x:row r="30" ht="15" hidden="0">
      <x:c r="A30" s="8"/>
      <x:c r="B30" s="21" t="str">
        <x:v>függőleges reo + kiöntőhabarcs feltöltés</x:v>
      </x:c>
      <x:c r="C30" s="7" t="s">
        <x:v>51</x:v>
      </x:c>
      <x:c r="D30" s="22" t="n">
        <x:v>4.5</x:v>
      </x:c>
      <x:c r="E30" s="23" t="n">
        <x:f aca="0">E27</x:f>
        <x:v>0</x:v>
      </x:c>
      <x:c r="F30" s="23" t="n">
        <x:f aca="0">D30*E30</x:f>
        <x:v>0</x:v>
      </x:c>
      <x:c r="G30" s="24" t="n">
        <x:v>0</x:v>
      </x:c>
      <x:c r="H30" s="25" t="n">
        <x:f aca="0">F30*G30</x:f>
        <x:v>0</x:v>
      </x:c>
      <x:c r="I30" s="7" t="str">
        <x:v>Acél</x:v>
      </x:c>
      <x:c r="J30" s="12"/>
    </x:row>
    <x:row r="31" ht="15" hidden="0">
      <x:c r="A31" s="8"/>
      <x:c r="B31" s="21" t="str">
        <x:v>áthidalók (ráhagyás folyóméterenként)</x:v>
      </x:c>
      <x:c r="C31" s="7" t="str">
        <x:v>db</x:v>
      </x:c>
      <x:c r="D31" s="22" t="n">
        <x:v>0.05</x:v>
      </x:c>
      <x:c r="E31" s="23" t="n">
        <x:f aca="0">E27</x:f>
        <x:v>0</x:v>
      </x:c>
      <x:c r="F31" s="23" t="n">
        <x:f aca="0">D31*E31</x:f>
        <x:v>0</x:v>
      </x:c>
      <x:c r="G31" s="24" t="n">
        <x:v>0</x:v>
      </x:c>
      <x:c r="H31" s="25" t="n">
        <x:f aca="0">F31*G31</x:f>
        <x:v>0</x:v>
      </x:c>
      <x:c r="I31" s="7" t="str">
        <x:v>Anyag</x:v>
      </x:c>
      <x:c r="J31" s="12" t="str">
        <x:v>arányosítva</x:v>
      </x:c>
    </x:row>
    <x:row r="32" ht="15" hidden="0">
      <x:c r="A32" s="8"/>
      <x:c r="B32" s="21" t="str">
        <x:v>talajnedvesség elleni szigetelés (base course)</x:v>
      </x:c>
      <x:c r="C32" s="7" t="str">
        <x:v>fm</x:v>
      </x:c>
      <x:c r="D32" s="22" t="n">
        <x:v>1</x:v>
      </x:c>
      <x:c r="E32" s="23" t="n">
        <x:f aca="0">E27</x:f>
        <x:v>0</x:v>
      </x:c>
      <x:c r="F32" s="23" t="n">
        <x:f aca="0">D32*E32</x:f>
        <x:v>0</x:v>
      </x:c>
      <x:c r="G32" s="24" t="n">
        <x:v>0</x:v>
      </x:c>
      <x:c r="H32" s="25" t="n">
        <x:f aca="0">F32*G32</x:f>
        <x:v>0</x:v>
      </x:c>
      <x:c r="I32" s="7" t="str">
        <x:v>Anyag</x:v>
      </x:c>
      <x:c r="J32" s="12"/>
    </x:row>
    <x:row r="33" ht="15" hidden="0">
      <x:c r="A33" s="8"/>
      <x:c r="B33" s="21" t="str">
        <x:v>falbekötők / indítóvasak</x:v>
      </x:c>
      <x:c r="C33" s="7" t="str">
        <x:v>db</x:v>
      </x:c>
      <x:c r="D33" s="22" t="n">
        <x:v>4</x:v>
      </x:c>
      <x:c r="E33" s="23" t="n">
        <x:f aca="0">E27</x:f>
        <x:v>0</x:v>
      </x:c>
      <x:c r="F33" s="23" t="n">
        <x:f aca="0">D33*E33</x:f>
        <x:v>0</x:v>
      </x:c>
      <x:c r="G33" s="24" t="n">
        <x:v>0</x:v>
      </x:c>
      <x:c r="H33" s="25" t="n">
        <x:f aca="0">F33*G33</x:f>
        <x:v>0</x:v>
      </x:c>
      <x:c r="I33" s="7" t="str">
        <x:v>Acél</x:v>
      </x:c>
      <x:c r="J33" s="12"/>
    </x:row>
    <x:row r="34" ht="15" hidden="0">
      <x:c r="A34" s="8"/>
      <x:c r="B34" s="21" t="str">
        <x:v>External vakolat</x:v>
      </x:c>
      <x:c r="C34" s="7" t="s">
        <x:v>6</x:v>
      </x:c>
      <x:c r="D34" s="22" t="n">
        <x:v>3</x:v>
      </x:c>
      <x:c r="E34" s="23" t="n">
        <x:f aca="0">E27</x:f>
        <x:v>0</x:v>
      </x:c>
      <x:c r="F34" s="23" t="n">
        <x:f aca="0">D34*E34</x:f>
        <x:v>0</x:v>
      </x:c>
      <x:c r="G34" s="24" t="n">
        <x:v>0</x:v>
      </x:c>
      <x:c r="H34" s="25" t="n">
        <x:f aca="0">F34*G34</x:f>
        <x:v>0</x:v>
      </x:c>
      <x:c r="I34" s="7" t="str">
        <x:v>Vakolat</x:v>
      </x:c>
      <x:c r="J34" s="12" t="str">
        <x:v>külső oldali felület</x:v>
      </x:c>
    </x:row>
    <x:row r="35" ht="15" hidden="0">
      <x:c r="A35" s="8"/>
      <x:c r="B35" s="21" t="str">
        <x:v>External festék</x:v>
      </x:c>
      <x:c r="C35" s="7" t="s">
        <x:v>6</x:v>
      </x:c>
      <x:c r="D35" s="22" t="n">
        <x:v>3</x:v>
      </x:c>
      <x:c r="E35" s="23" t="n">
        <x:f aca="0">E27</x:f>
        <x:v>0</x:v>
      </x:c>
      <x:c r="F35" s="23" t="n">
        <x:f aca="0">D35*E35</x:f>
        <x:v>0</x:v>
      </x:c>
      <x:c r="G35" s="24" t="n">
        <x:v>0</x:v>
      </x:c>
      <x:c r="H35" s="25" t="n">
        <x:f aca="0">F35*G35</x:f>
        <x:v>0</x:v>
      </x:c>
      <x:c r="I35" s="7" t="str">
        <x:v>Festés</x:v>
      </x:c>
      <x:c r="J35" s="12" t="str">
        <x:v>külső oldali felület</x:v>
      </x:c>
    </x:row>
    <x:row r="36" ht="15" hidden="0">
      <x:c r="A36" s="8"/>
      <x:c r="B36" s="21" t="str">
        <x:v>Internal vakolat (aljzat / fogadófelület for burkolólap)</x:v>
      </x:c>
      <x:c r="C36" s="7" t="s">
        <x:v>6</x:v>
      </x:c>
      <x:c r="D36" s="22" t="n">
        <x:v>2.2</x:v>
      </x:c>
      <x:c r="E36" s="23" t="n">
        <x:f aca="0">E27</x:f>
        <x:v>0</x:v>
      </x:c>
      <x:c r="F36" s="23" t="n">
        <x:f aca="0">D36*E36</x:f>
        <x:v>0</x:v>
      </x:c>
      <x:c r="G36" s="24" t="n">
        <x:v>0</x:v>
      </x:c>
      <x:c r="H36" s="25" t="n">
        <x:f aca="0">F36*G36</x:f>
        <x:v>0</x:v>
      </x:c>
      <x:c r="I36" s="7" t="str">
        <x:v>Vakolat</x:v>
      </x:c>
      <x:c r="J36" s="12" t="str">
        <x:v>Up - 2.2m only - burkolandó zóna</x:v>
      </x:c>
    </x:row>
    <x:row r="37" ht="15" hidden="0">
      <x:c r="A37" s="8"/>
      <x:c r="B37" s="21" t="str">
        <x:v>Internal vakolat (above burkolólap)</x:v>
      </x:c>
      <x:c r="C37" s="7" t="s">
        <x:v>6</x:v>
      </x:c>
      <x:c r="D37" s="22" t="n">
        <x:v>0.8</x:v>
      </x:c>
      <x:c r="E37" s="23" t="n">
        <x:f aca="0">E27</x:f>
        <x:v>0</x:v>
      </x:c>
      <x:c r="F37" s="23" t="n">
        <x:f aca="0">D37*E37</x:f>
        <x:v>0</x:v>
      </x:c>
      <x:c r="G37" s="24" t="n">
        <x:v>0</x:v>
      </x:c>
      <x:c r="H37" s="25" t="n">
        <x:f aca="0">F37*G37</x:f>
        <x:v>0</x:v>
      </x:c>
      <x:c r="I37" s="7" t="str">
        <x:v>Vakolat</x:v>
      </x:c>
      <x:c r="J37" s="12" t="str">
        <x:v>Above 2.2m - mennyezet</x:v>
      </x:c>
    </x:row>
    <x:row r="38" ht="15" hidden="0">
      <x:c r="A38" s="8"/>
      <x:c r="B38" s="21" t="str">
        <x:v>Internal festék (above burkolólap)</x:v>
      </x:c>
      <x:c r="C38" s="7" t="s">
        <x:v>6</x:v>
      </x:c>
      <x:c r="D38" s="22" t="n">
        <x:v>0.8</x:v>
      </x:c>
      <x:c r="E38" s="23" t="n">
        <x:f aca="0">E27</x:f>
        <x:v>0</x:v>
      </x:c>
      <x:c r="F38" s="23" t="n">
        <x:f aca="0">D38*E38</x:f>
        <x:v>0</x:v>
      </x:c>
      <x:c r="G38" s="24" t="n">
        <x:v>0</x:v>
      </x:c>
      <x:c r="H38" s="25" t="n">
        <x:f aca="0">F38*G38</x:f>
        <x:v>0</x:v>
      </x:c>
      <x:c r="I38" s="7" t="str">
        <x:v>Festés</x:v>
      </x:c>
      <x:c r="J38" s="12" t="str">
        <x:v>Above burkolandó zóna</x:v>
      </x:c>
    </x:row>
    <x:row r="39" ht="15" hidden="0">
      <x:c r="A39" s="8"/>
      <x:c r="B39" s="21" t="str">
        <x:v>falburkolat - 100×100 kerámia fehér</x:v>
      </x:c>
      <x:c r="C39" s="7" t="s">
        <x:v>6</x:v>
      </x:c>
      <x:c r="D39" s="22" t="n">
        <x:v>2.2</x:v>
      </x:c>
      <x:c r="E39" s="23" t="n">
        <x:f aca="0">E27</x:f>
        <x:v>0</x:v>
      </x:c>
      <x:c r="F39" s="23" t="n">
        <x:f aca="0">D39*E39</x:f>
        <x:v>0</x:v>
      </x:c>
      <x:c r="G39" s="24" t="n">
        <x:v>0</x:v>
      </x:c>
      <x:c r="H39" s="25" t="n">
        <x:f aca="0">F39*G39</x:f>
        <x:v>0</x:v>
      </x:c>
      <x:c r="I39" s="7" t="str">
        <x:v>Burkolás</x:v>
      </x:c>
      <x:c r="J39" s="12" t="str">
        <x:v>To 2.2m magasság. 8% wastage in rate</x:v>
      </x:c>
    </x:row>
    <x:row r="40" ht="15" hidden="0">
      <x:c r="A40" s="8"/>
      <x:c r="B40" s="21" t="str">
        <x:v>burkolólap adhesive</x:v>
      </x:c>
      <x:c r="C40" s="7" t="s">
        <x:v>6</x:v>
      </x:c>
      <x:c r="D40" s="22" t="n">
        <x:v>2.2</x:v>
      </x:c>
      <x:c r="E40" s="23" t="n">
        <x:f aca="0">E27</x:f>
        <x:v>0</x:v>
      </x:c>
      <x:c r="F40" s="23" t="n">
        <x:f aca="0">D40*E40</x:f>
        <x:v>0</x:v>
      </x:c>
      <x:c r="G40" s="24" t="n">
        <x:v>0</x:v>
      </x:c>
      <x:c r="H40" s="25" t="n">
        <x:f aca="0">F40*G40</x:f>
        <x:v>0</x:v>
      </x:c>
      <x:c r="I40" s="7" t="str">
        <x:v>Anyag</x:v>
      </x:c>
      <x:c r="J40" s="12"/>
    </x:row>
    <x:row r="41" ht="15" hidden="0">
      <x:c r="A41" s="8"/>
      <x:c r="B41" s="21" t="str">
        <x:v>kiöntőhabarcs</x:v>
      </x:c>
      <x:c r="C41" s="7" t="s">
        <x:v>6</x:v>
      </x:c>
      <x:c r="D41" s="22" t="n">
        <x:v>2.2</x:v>
      </x:c>
      <x:c r="E41" s="23" t="n">
        <x:f aca="0">E27</x:f>
        <x:v>0</x:v>
      </x:c>
      <x:c r="F41" s="23" t="n">
        <x:f aca="0">D41*E41</x:f>
        <x:v>0</x:v>
      </x:c>
      <x:c r="G41" s="24" t="n">
        <x:v>0</x:v>
      </x:c>
      <x:c r="H41" s="25" t="n">
        <x:f aca="0">F41*G41</x:f>
        <x:v>0</x:v>
      </x:c>
      <x:c r="I41" s="7" t="str">
        <x:v>Anyag</x:v>
      </x:c>
      <x:c r="J41" s="12"/>
    </x:row>
    <x:row r="42" ht="15" hidden="0">
      <x:c r="A42" s="8"/>
      <x:c r="B42" s="21" t="str">
        <x:v>burkolólap szegélyprofil - alumínium élvédő</x:v>
      </x:c>
      <x:c r="C42" s="7" t="str">
        <x:v>fm</x:v>
      </x:c>
      <x:c r="D42" s="22" t="n">
        <x:v>2.2</x:v>
      </x:c>
      <x:c r="E42" s="23" t="n">
        <x:f aca="0">E27</x:f>
        <x:v>0</x:v>
      </x:c>
      <x:c r="F42" s="23" t="n">
        <x:f aca="0">D42*E42</x:f>
        <x:v>0</x:v>
      </x:c>
      <x:c r="G42" s="24" t="n">
        <x:v>0</x:v>
      </x:c>
      <x:c r="H42" s="25" t="n">
        <x:f aca="0">F42*G42</x:f>
        <x:v>0</x:v>
      </x:c>
      <x:c r="I42" s="7" t="str">
        <x:v>Anyag</x:v>
      </x:c>
      <x:c r="J42" s="12" t="str">
        <x:v>Top edge of burkolólap + corners</x:v>
      </x:c>
    </x:row>
    <x:row r="43" ht="15" hidden="0">
      <x:c r="A43" s="8"/>
      <x:c r="B43" s="21" t="str">
        <x:v>szilikon (perimeter, junctions)</x:v>
      </x:c>
      <x:c r="C43" s="7" t="str">
        <x:v>fm</x:v>
      </x:c>
      <x:c r="D43" s="22" t="n">
        <x:v>4</x:v>
      </x:c>
      <x:c r="E43" s="23" t="n">
        <x:f aca="0">E27</x:f>
        <x:v>0</x:v>
      </x:c>
      <x:c r="F43" s="23" t="n">
        <x:f aca="0">D43*E43</x:f>
        <x:v>0</x:v>
      </x:c>
      <x:c r="G43" s="24" t="n">
        <x:v>0</x:v>
      </x:c>
      <x:c r="H43" s="25" t="n">
        <x:f aca="0">F43*G43</x:f>
        <x:v>0</x:v>
      </x:c>
      <x:c r="I43" s="7" t="str">
        <x:v>Anyag</x:v>
      </x:c>
      <x:c r="J43" s="12" t="str">
        <x:v>Top of burkolólap, base of burkolólap, függőleges corners</x:v>
      </x:c>
    </x:row>
    <x:row r="44" ht="15" hidden="0">
      <x:c r="A44" s="8"/>
      <x:c r="B44" s="21" t="str">
        <x:v>Labour - falazóelem layer</x:v>
      </x:c>
      <x:c r="C44" s="7" t="str">
        <x:v>óra</x:v>
      </x:c>
      <x:c r="D44" s="22" t="n">
        <x:v>0.6</x:v>
      </x:c>
      <x:c r="E44" s="23" t="n">
        <x:f aca="0">E27</x:f>
        <x:v>0</x:v>
      </x:c>
      <x:c r="F44" s="23" t="n">
        <x:f aca="0">D44*E44</x:f>
        <x:v>0</x:v>
      </x:c>
      <x:c r="G44" s="24" t="n">
        <x:v>0</x:v>
      </x:c>
      <x:c r="H44" s="25" t="n">
        <x:f aca="0">F44*G44</x:f>
        <x:v>0</x:v>
      </x:c>
      <x:c r="I44" s="7" t="str">
        <x:v>Munkaerő</x:v>
      </x:c>
      <x:c r="J44" s="12"/>
    </x:row>
    <x:row r="45" ht="15" hidden="0">
      <x:c r="A45" s="8"/>
      <x:c r="B45" s="21" t="str">
        <x:v>Labour - vakolat hand</x:v>
      </x:c>
      <x:c r="C45" s="7" t="str">
        <x:v>óra</x:v>
      </x:c>
      <x:c r="D45" s="22" t="n">
        <x:v>0.4</x:v>
      </x:c>
      <x:c r="E45" s="23" t="n">
        <x:f aca="0">E27</x:f>
        <x:v>0</x:v>
      </x:c>
      <x:c r="F45" s="23" t="n">
        <x:f aca="0">D45*E45</x:f>
        <x:v>0</x:v>
      </x:c>
      <x:c r="G45" s="24" t="n">
        <x:v>0</x:v>
      </x:c>
      <x:c r="H45" s="25" t="n">
        <x:f aca="0">F45*G45</x:f>
        <x:v>0</x:v>
      </x:c>
      <x:c r="I45" s="7" t="str">
        <x:v>Munkaerő</x:v>
      </x:c>
      <x:c r="J45" s="12"/>
    </x:row>
    <x:row r="46" ht="15" hidden="0">
      <x:c r="A46" s="8"/>
      <x:c r="B46" s="21" t="s">
        <x:v>57</x:v>
      </x:c>
      <x:c r="C46" s="7" t="str">
        <x:v>óra</x:v>
      </x:c>
      <x:c r="D46" s="22" t="n">
        <x:v>1.5</x:v>
      </x:c>
      <x:c r="E46" s="23" t="n">
        <x:f aca="0">E27</x:f>
        <x:v>0</x:v>
      </x:c>
      <x:c r="F46" s="23" t="n">
        <x:f aca="0">D46*E46</x:f>
        <x:v>0</x:v>
      </x:c>
      <x:c r="G46" s="24" t="n">
        <x:v>0</x:v>
      </x:c>
      <x:c r="H46" s="25" t="n">
        <x:f aca="0">F46*G46</x:f>
        <x:v>0</x:v>
      </x:c>
      <x:c r="I46" s="7" t="str">
        <x:v>Munkaerő</x:v>
      </x:c>
      <x:c r="J46" s="12" t="str">
        <x:v>~0.7 hr/m² falburkolat</x:v>
      </x:c>
    </x:row>
    <x:row r="47" ht="15" hidden="0">
      <x:c r="A47" s="8"/>
      <x:c r="B47" s="21" t="s">
        <x:v>54</x:v>
      </x:c>
      <x:c r="C47" s="7" t="str">
        <x:v>óra</x:v>
      </x:c>
      <x:c r="D47" s="22" t="n">
        <x:v>0.15</x:v>
      </x:c>
      <x:c r="E47" s="23" t="n">
        <x:f aca="0">E27</x:f>
        <x:v>0</x:v>
      </x:c>
      <x:c r="F47" s="23" t="n">
        <x:f aca="0">D47*E47</x:f>
        <x:v>0</x:v>
      </x:c>
      <x:c r="G47" s="24" t="n">
        <x:v>0</x:v>
      </x:c>
      <x:c r="H47" s="25" t="n">
        <x:f aca="0">F47*G47</x:f>
        <x:v>0</x:v>
      </x:c>
      <x:c r="I47" s="7" t="str">
        <x:v>Munkaerő</x:v>
      </x:c>
      <x:c r="J47" s="12" t="s">
        <x:v>58</x:v>
      </x:c>
    </x:row>
    <x:row r="48" ht="15" hidden="0">
      <x:c r="A48" s="26"/>
      <x:c r="B48" s="27" t="s">
        <x:v>59</x:v>
      </x:c>
      <x:c r="C48" s="26"/>
      <x:c r="D48" s="26"/>
      <x:c r="E48" s="26"/>
      <x:c r="F48" s="26"/>
      <x:c r="G48" s="26"/>
      <x:c r="H48" s="28" t="n">
        <x:f aca="0">SUM(H28:H47)</x:f>
        <x:v>0</x:v>
      </x:c>
      <x:c r="I48" s="26"/>
      <x:c r="J48" s="26"/>
    </x:row>
    <x:row r="50" ht="15" hidden="0">
      <x:c r="J50" s="14" t="s">
        <x:v>60</x:v>
      </x:c>
    </x:row>
    <x:row r="51" ht="15" hidden="0">
      <x:c r="A51" s="15" t="s">
        <x:v>49</x:v>
      </x:c>
      <x:c r="B51" s="16" t="str">
        <x:v>Belső blokkfal - W1 (festett mindkét oldalon, 200mm, 3.0m magas)</x:v>
      </x:c>
      <x:c r="C51" s="15" t="str">
        <x:v>fm</x:v>
      </x:c>
      <x:c r="D51" s="15" t="n">
        <x:v>1</x:v>
      </x:c>
      <x:c r="E51" s="17" t="n">
        <x:v>0</x:v>
      </x:c>
      <x:c r="F51" s="18" t="n">
        <x:f aca="0">D51*E51</x:f>
        <x:v>0</x:v>
      </x:c>
      <x:c r="G51" s="19" t="n">
        <x:v>0</x:v>
      </x:c>
      <x:c r="H51" s="20" t="n">
        <x:f aca="0">F51*G51</x:f>
        <x:v>0</x:v>
      </x:c>
    </x:row>
    <x:row r="52" ht="15" hidden="0">
      <x:c r="A52" s="8"/>
      <x:c r="B52" s="21" t="str">
        <x:v>falazóelem (200mm)</x:v>
      </x:c>
      <x:c r="C52" s="7" t="str">
        <x:v>db</x:v>
      </x:c>
      <x:c r="D52" s="22" t="n">
        <x:v>12.5</x:v>
      </x:c>
      <x:c r="E52" s="23" t="n">
        <x:f aca="0">E51</x:f>
        <x:v>0</x:v>
      </x:c>
      <x:c r="F52" s="23" t="n">
        <x:f aca="0">D52*E52</x:f>
        <x:v>0</x:v>
      </x:c>
      <x:c r="G52" s="24" t="n">
        <x:v>0</x:v>
      </x:c>
      <x:c r="H52" s="25" t="n">
        <x:f aca="0">F52*G52</x:f>
        <x:v>0</x:v>
      </x:c>
      <x:c r="I52" s="7" t="str">
        <x:v>Anyag</x:v>
      </x:c>
      <x:c r="J52" s="12"/>
    </x:row>
    <x:row r="53" ht="15" hidden="0">
      <x:c r="A53" s="8"/>
      <x:c r="B53" s="21" t="str">
        <x:v>habarcs</x:v>
      </x:c>
      <x:c r="C53" s="7" t="s">
        <x:v>50</x:v>
      </x:c>
      <x:c r="D53" s="22" t="n">
        <x:v>0.04</x:v>
      </x:c>
      <x:c r="E53" s="23" t="n">
        <x:f aca="0">E51</x:f>
        <x:v>0</x:v>
      </x:c>
      <x:c r="F53" s="23" t="n">
        <x:f aca="0">D53*E53</x:f>
        <x:v>0</x:v>
      </x:c>
      <x:c r="G53" s="24" t="n">
        <x:v>0</x:v>
      </x:c>
      <x:c r="H53" s="25" t="n">
        <x:f aca="0">F53*G53</x:f>
        <x:v>0</x:v>
      </x:c>
      <x:c r="I53" s="7" t="str">
        <x:v>Anyag</x:v>
      </x:c>
      <x:c r="J53" s="12"/>
    </x:row>
    <x:row r="54" ht="15" hidden="0">
      <x:c r="A54" s="8"/>
      <x:c r="B54" s="21" t="str">
        <x:v>függőleges reo + kiöntőhabarcs feltöltés</x:v>
      </x:c>
      <x:c r="C54" s="7" t="s">
        <x:v>51</x:v>
      </x:c>
      <x:c r="D54" s="22" t="n">
        <x:v>4</x:v>
      </x:c>
      <x:c r="E54" s="23" t="n">
        <x:f aca="0">E51</x:f>
        <x:v>0</x:v>
      </x:c>
      <x:c r="F54" s="23" t="n">
        <x:f aca="0">D54*E54</x:f>
        <x:v>0</x:v>
      </x:c>
      <x:c r="G54" s="24" t="n">
        <x:v>0</x:v>
      </x:c>
      <x:c r="H54" s="25" t="n">
        <x:f aca="0">F54*G54</x:f>
        <x:v>0</x:v>
      </x:c>
      <x:c r="I54" s="7" t="str">
        <x:v>Acél</x:v>
      </x:c>
      <x:c r="J54" s="12" t="s">
        <x:v>61</x:v>
      </x:c>
    </x:row>
    <x:row r="55" ht="15" hidden="0">
      <x:c r="A55" s="8"/>
      <x:c r="B55" s="21" t="str">
        <x:v>áthidalók (ráhagyás folyóméterenként)</x:v>
      </x:c>
      <x:c r="C55" s="7" t="str">
        <x:v>db</x:v>
      </x:c>
      <x:c r="D55" s="22" t="n">
        <x:v>0.05</x:v>
      </x:c>
      <x:c r="E55" s="23" t="n">
        <x:f aca="0">E51</x:f>
        <x:v>0</x:v>
      </x:c>
      <x:c r="F55" s="23" t="n">
        <x:f aca="0">D55*E55</x:f>
        <x:v>0</x:v>
      </x:c>
      <x:c r="G55" s="24" t="n">
        <x:v>0</x:v>
      </x:c>
      <x:c r="H55" s="25" t="n">
        <x:f aca="0">F55*G55</x:f>
        <x:v>0</x:v>
      </x:c>
      <x:c r="I55" s="7" t="str">
        <x:v>Anyag</x:v>
      </x:c>
      <x:c r="J55" s="12" t="str">
        <x:v>arányosítva</x:v>
      </x:c>
    </x:row>
    <x:row r="56" ht="15" hidden="0">
      <x:c r="A56" s="8"/>
      <x:c r="B56" s="21" t="str">
        <x:v>falbekötők / indítóvasak</x:v>
      </x:c>
      <x:c r="C56" s="7" t="str">
        <x:v>db</x:v>
      </x:c>
      <x:c r="D56" s="22" t="n">
        <x:v>4</x:v>
      </x:c>
      <x:c r="E56" s="23" t="n">
        <x:f aca="0">E51</x:f>
        <x:v>0</x:v>
      </x:c>
      <x:c r="F56" s="23" t="n">
        <x:f aca="0">D56*E56</x:f>
        <x:v>0</x:v>
      </x:c>
      <x:c r="G56" s="24" t="n">
        <x:v>0</x:v>
      </x:c>
      <x:c r="H56" s="25" t="n">
        <x:f aca="0">F56*G56</x:f>
        <x:v>0</x:v>
      </x:c>
      <x:c r="I56" s="7" t="str">
        <x:v>Acél</x:v>
      </x:c>
      <x:c r="J56" s="12"/>
    </x:row>
    <x:row r="57" ht="15" hidden="0">
      <x:c r="A57" s="8"/>
      <x:c r="B57" s="21" t="str">
        <x:v>vakolat mindkét oldalon</x:v>
      </x:c>
      <x:c r="C57" s="7" t="s">
        <x:v>6</x:v>
      </x:c>
      <x:c r="D57" s="22" t="n">
        <x:v>6</x:v>
      </x:c>
      <x:c r="E57" s="23" t="n">
        <x:f aca="0">E51</x:f>
        <x:v>0</x:v>
      </x:c>
      <x:c r="F57" s="23" t="n">
        <x:f aca="0">D57*E57</x:f>
        <x:v>0</x:v>
      </x:c>
      <x:c r="G57" s="24" t="n">
        <x:v>0</x:v>
      </x:c>
      <x:c r="H57" s="25" t="n">
        <x:f aca="0">F57*G57</x:f>
        <x:v>0</x:v>
      </x:c>
      <x:c r="I57" s="7" t="str">
        <x:v>Vakolat</x:v>
      </x:c>
      <x:c r="J57" s="12" t="s">
        <x:v>62</x:v>
      </x:c>
    </x:row>
    <x:row r="58" ht="22.350000381469727" hidden="0">
      <x:c r="A58" s="8"/>
      <x:c r="B58" s="21" t="str">
        <x:v>festék - primer + 2 rétegek mindkét oldalon</x:v>
      </x:c>
      <x:c r="C58" s="7" t="s">
        <x:v>6</x:v>
      </x:c>
      <x:c r="D58" s="22" t="n">
        <x:v>6</x:v>
      </x:c>
      <x:c r="E58" s="23" t="n">
        <x:f aca="0">E51</x:f>
        <x:v>0</x:v>
      </x:c>
      <x:c r="F58" s="23" t="n">
        <x:f aca="0">D58*E58</x:f>
        <x:v>0</x:v>
      </x:c>
      <x:c r="G58" s="24" t="n">
        <x:v>0</x:v>
      </x:c>
      <x:c r="H58" s="25" t="n">
        <x:f aca="0">F58*G58</x:f>
        <x:v>0</x:v>
      </x:c>
      <x:c r="I58" s="7" t="str">
        <x:v>Festés</x:v>
      </x:c>
      <x:c r="J58" s="12" t="str">
        <x:v>2 faces × 3m. 6% levonás included for nyílások</x:v>
      </x:c>
    </x:row>
    <x:row r="59" ht="15" hidden="0">
      <x:c r="A59" s="8"/>
      <x:c r="B59" s="21" t="str">
        <x:v>Labour - falazóelem layer</x:v>
      </x:c>
      <x:c r="C59" s="7" t="str">
        <x:v>óra</x:v>
      </x:c>
      <x:c r="D59" s="22" t="n">
        <x:v>0.6</x:v>
      </x:c>
      <x:c r="E59" s="23" t="n">
        <x:f aca="0">E51</x:f>
        <x:v>0</x:v>
      </x:c>
      <x:c r="F59" s="23" t="n">
        <x:f aca="0">D59*E59</x:f>
        <x:v>0</x:v>
      </x:c>
      <x:c r="G59" s="24" t="n">
        <x:v>0</x:v>
      </x:c>
      <x:c r="H59" s="25" t="n">
        <x:f aca="0">F59*G59</x:f>
        <x:v>0</x:v>
      </x:c>
      <x:c r="I59" s="7" t="str">
        <x:v>Munkaerő</x:v>
      </x:c>
      <x:c r="J59" s="12"/>
    </x:row>
    <x:row r="60" ht="15" hidden="0">
      <x:c r="A60" s="8"/>
      <x:c r="B60" s="21" t="str">
        <x:v>Labour - vakolat hand</x:v>
      </x:c>
      <x:c r="C60" s="7" t="str">
        <x:v>óra</x:v>
      </x:c>
      <x:c r="D60" s="22" t="n">
        <x:v>0.5</x:v>
      </x:c>
      <x:c r="E60" s="23" t="n">
        <x:f aca="0">E51</x:f>
        <x:v>0</x:v>
      </x:c>
      <x:c r="F60" s="23" t="n">
        <x:f aca="0">D60*E60</x:f>
        <x:v>0</x:v>
      </x:c>
      <x:c r="G60" s="24" t="n">
        <x:v>0</x:v>
      </x:c>
      <x:c r="H60" s="25" t="n">
        <x:f aca="0">F60*G60</x:f>
        <x:v>0</x:v>
      </x:c>
      <x:c r="I60" s="7" t="str">
        <x:v>Munkaerő</x:v>
      </x:c>
      <x:c r="J60" s="12"/>
    </x:row>
    <x:row r="61" ht="15" hidden="0">
      <x:c r="A61" s="8"/>
      <x:c r="B61" s="21" t="s">
        <x:v>54</x:v>
      </x:c>
      <x:c r="C61" s="7" t="str">
        <x:v>óra</x:v>
      </x:c>
      <x:c r="D61" s="22" t="n">
        <x:v>0.4</x:v>
      </x:c>
      <x:c r="E61" s="23" t="n">
        <x:f aca="0">E51</x:f>
        <x:v>0</x:v>
      </x:c>
      <x:c r="F61" s="23" t="n">
        <x:f aca="0">D61*E61</x:f>
        <x:v>0</x:v>
      </x:c>
      <x:c r="G61" s="24" t="n">
        <x:v>0</x:v>
      </x:c>
      <x:c r="H61" s="25" t="n">
        <x:f aca="0">F61*G61</x:f>
        <x:v>0</x:v>
      </x:c>
      <x:c r="I61" s="7" t="str">
        <x:v>Munkaerő</x:v>
      </x:c>
      <x:c r="J61" s="12"/>
    </x:row>
    <x:row r="62" ht="15" hidden="0">
      <x:c r="A62" s="26"/>
      <x:c r="B62" s="27" t="s">
        <x:v>63</x:v>
      </x:c>
      <x:c r="C62" s="26"/>
      <x:c r="D62" s="26"/>
      <x:c r="E62" s="26"/>
      <x:c r="F62" s="26"/>
      <x:c r="G62" s="26"/>
      <x:c r="H62" s="28" t="n">
        <x:f aca="0">SUM(H52:H61)</x:f>
        <x:v>0</x:v>
      </x:c>
      <x:c r="I62" s="26"/>
      <x:c r="J62" s="26"/>
    </x:row>
    <x:row r="64" ht="15" hidden="0">
      <x:c r="J64" s="14" t="str">
        <x:v>Mennyiségfelvétel hivatkozás 3.1</x:v>
      </x:c>
    </x:row>
    <x:row r="65" ht="15" hidden="0">
      <x:c r="A65" s="15" t="s">
        <x:v>49</x:v>
      </x:c>
      <x:c r="B65" s="16" t="str">
        <x:v>F0 - 40 mm esztrich 85 mm beton alaprétegen (járda / gyalogos közlekedő)</x:v>
      </x:c>
      <x:c r="C65" s="15" t="s">
        <x:v>6</x:v>
      </x:c>
      <x:c r="D65" s="15" t="n">
        <x:v>1</x:v>
      </x:c>
      <x:c r="E65" s="17" t="n">
        <x:v>0</x:v>
      </x:c>
      <x:c r="F65" s="18" t="n">
        <x:f aca="0">D65*E65</x:f>
        <x:v>0</x:v>
      </x:c>
      <x:c r="G65" s="19" t="n">
        <x:v>0</x:v>
      </x:c>
      <x:c r="H65" s="20" t="n">
        <x:f aca="0">F65*G65</x:f>
        <x:v>0</x:v>
      </x:c>
    </x:row>
    <x:row r="66" ht="15" hidden="0">
      <x:c r="A66" s="8"/>
      <x:c r="B66" s="21" t="str">
        <x:v>ágyazati réteg tömörítés prep</x:v>
      </x:c>
      <x:c r="C66" s="7" t="s">
        <x:v>6</x:v>
      </x:c>
      <x:c r="D66" s="22" t="n">
        <x:v>1</x:v>
      </x:c>
      <x:c r="E66" s="23" t="n">
        <x:f aca="0">E65</x:f>
        <x:v>0</x:v>
      </x:c>
      <x:c r="F66" s="23" t="n">
        <x:f aca="0">D66*E66</x:f>
        <x:v>0</x:v>
      </x:c>
      <x:c r="G66" s="24" t="n">
        <x:v>0</x:v>
      </x:c>
      <x:c r="H66" s="25" t="n">
        <x:f aca="0">F66*G66</x:f>
        <x:v>0</x:v>
      </x:c>
      <x:c r="I66" s="7" t="s">
        <x:v>64</x:v>
      </x:c>
      <x:c r="J66" s="12" t="s">
        <x:v>65</x:v>
      </x:c>
    </x:row>
    <x:row r="67" ht="15" hidden="0">
      <x:c r="A67" s="8"/>
      <x:c r="B67" s="21" t="s">
        <x:v>66</x:v>
      </x:c>
      <x:c r="C67" s="7" t="s">
        <x:v>50</x:v>
      </x:c>
      <x:c r="D67" s="22" t="n">
        <x:v>0.085</x:v>
      </x:c>
      <x:c r="E67" s="23" t="n">
        <x:f aca="0">E65</x:f>
        <x:v>0</x:v>
      </x:c>
      <x:c r="F67" s="23" t="n">
        <x:f aca="0">D67*E67</x:f>
        <x:v>0</x:v>
      </x:c>
      <x:c r="G67" s="24" t="n">
        <x:v>0</x:v>
      </x:c>
      <x:c r="H67" s="25" t="n">
        <x:f aca="0">F67*G67</x:f>
        <x:v>0</x:v>
      </x:c>
      <x:c r="I67" s="7" t="str">
        <x:v>Beton</x:v>
      </x:c>
      <x:c r="J67" s="12" t="s">
        <x:v>67</x:v>
      </x:c>
    </x:row>
    <x:row r="68" ht="15" hidden="0">
      <x:c r="A68" s="8"/>
      <x:c r="B68" s="21" t="s">
        <x:v>68</x:v>
      </x:c>
      <x:c r="C68" s="7" t="s">
        <x:v>6</x:v>
      </x:c>
      <x:c r="D68" s="22" t="n">
        <x:v>1.05</x:v>
      </x:c>
      <x:c r="E68" s="23" t="n">
        <x:f aca="0">E65</x:f>
        <x:v>0</x:v>
      </x:c>
      <x:c r="F68" s="23" t="n">
        <x:f aca="0">D68*E68</x:f>
        <x:v>0</x:v>
      </x:c>
      <x:c r="G68" s="24" t="n">
        <x:v>0</x:v>
      </x:c>
      <x:c r="H68" s="25" t="n">
        <x:f aca="0">F68*G68</x:f>
        <x:v>0</x:v>
      </x:c>
      <x:c r="I68" s="7" t="str">
        <x:v>Acél</x:v>
      </x:c>
      <x:c r="J68" s="12" t="s">
        <x:v>69</x:v>
      </x:c>
    </x:row>
    <x:row r="69" ht="15" hidden="0">
      <x:c r="A69" s="8"/>
      <x:c r="B69" s="21" t="str">
        <x:v>Sand/cement esztrich 40mm</x:v>
      </x:c>
      <x:c r="C69" s="7" t="s">
        <x:v>50</x:v>
      </x:c>
      <x:c r="D69" s="22" t="n">
        <x:v>0.04</x:v>
      </x:c>
      <x:c r="E69" s="23" t="n">
        <x:f aca="0">E65</x:f>
        <x:v>0</x:v>
      </x:c>
      <x:c r="F69" s="23" t="n">
        <x:f aca="0">D69*E69</x:f>
        <x:v>0</x:v>
      </x:c>
      <x:c r="G69" s="24" t="n">
        <x:v>0</x:v>
      </x:c>
      <x:c r="H69" s="25" t="n">
        <x:f aca="0">F69*G69</x:f>
        <x:v>0</x:v>
      </x:c>
      <x:c r="I69" s="7" t="str">
        <x:v>Anyag</x:v>
      </x:c>
      <x:c r="J69" s="12"/>
    </x:row>
    <x:row r="70" ht="15" hidden="0">
      <x:c r="A70" s="8"/>
      <x:c r="B70" s="21" t="s">
        <x:v>70</x:v>
      </x:c>
      <x:c r="C70" s="7" t="s">
        <x:v>6</x:v>
      </x:c>
      <x:c r="D70" s="22" t="n">
        <x:v>1</x:v>
      </x:c>
      <x:c r="E70" s="23" t="n">
        <x:f aca="0">E65</x:f>
        <x:v>0</x:v>
      </x:c>
      <x:c r="F70" s="23" t="n">
        <x:f aca="0">D70*E70</x:f>
        <x:v>0</x:v>
      </x:c>
      <x:c r="G70" s="24" t="n">
        <x:v>0</x:v>
      </x:c>
      <x:c r="H70" s="25" t="n">
        <x:f aca="0">F70*G70</x:f>
        <x:v>0</x:v>
      </x:c>
      <x:c r="I70" s="7" t="str">
        <x:v>Anyag</x:v>
      </x:c>
      <x:c r="J70" s="12"/>
    </x:row>
    <x:row r="71" ht="15" hidden="0">
      <x:c r="A71" s="8"/>
      <x:c r="B71" s="21" t="s">
        <x:v>71</x:v>
      </x:c>
      <x:c r="C71" s="7" t="str">
        <x:v>fm</x:v>
      </x:c>
      <x:c r="D71" s="22" t="n">
        <x:v>0.5</x:v>
      </x:c>
      <x:c r="E71" s="23" t="n">
        <x:f aca="0">E65</x:f>
        <x:v>0</x:v>
      </x:c>
      <x:c r="F71" s="23" t="n">
        <x:f aca="0">D71*E71</x:f>
        <x:v>0</x:v>
      </x:c>
      <x:c r="G71" s="24" t="n">
        <x:v>0</x:v>
      </x:c>
      <x:c r="H71" s="25" t="n">
        <x:f aca="0">F71*G71</x:f>
        <x:v>0</x:v>
      </x:c>
      <x:c r="I71" s="7" t="str">
        <x:v>Beton</x:v>
      </x:c>
      <x:c r="J71" s="12" t="str">
        <x:v> spec spacing</x:v>
      </x:c>
    </x:row>
    <x:row r="72" ht="15" hidden="0">
      <x:c r="A72" s="8"/>
      <x:c r="B72" s="21" t="s">
        <x:v>72</x:v>
      </x:c>
      <x:c r="C72" s="7" t="str">
        <x:v>óra</x:v>
      </x:c>
      <x:c r="D72" s="22" t="n">
        <x:v>0.25</x:v>
      </x:c>
      <x:c r="E72" s="23" t="n">
        <x:f aca="0">E65</x:f>
        <x:v>0</x:v>
      </x:c>
      <x:c r="F72" s="23" t="n">
        <x:f aca="0">D72*E72</x:f>
        <x:v>0</x:v>
      </x:c>
      <x:c r="G72" s="24" t="n">
        <x:v>0</x:v>
      </x:c>
      <x:c r="H72" s="25" t="n">
        <x:f aca="0">F72*G72</x:f>
        <x:v>0</x:v>
      </x:c>
      <x:c r="I72" s="7" t="str">
        <x:v>Munkaerő</x:v>
      </x:c>
      <x:c r="J72" s="12"/>
    </x:row>
    <x:row r="73" ht="15" hidden="0">
      <x:c r="A73" s="8"/>
      <x:c r="B73" s="21" t="str">
        <x:v>Labour - esztrich hand</x:v>
      </x:c>
      <x:c r="C73" s="7" t="str">
        <x:v>óra</x:v>
      </x:c>
      <x:c r="D73" s="22" t="n">
        <x:v>0.15</x:v>
      </x:c>
      <x:c r="E73" s="23" t="n">
        <x:f aca="0">E65</x:f>
        <x:v>0</x:v>
      </x:c>
      <x:c r="F73" s="23" t="n">
        <x:f aca="0">D73*E73</x:f>
        <x:v>0</x:v>
      </x:c>
      <x:c r="G73" s="24" t="n">
        <x:v>0</x:v>
      </x:c>
      <x:c r="H73" s="25" t="n">
        <x:f aca="0">F73*G73</x:f>
        <x:v>0</x:v>
      </x:c>
      <x:c r="I73" s="7" t="str">
        <x:v>Munkaerő</x:v>
      </x:c>
      <x:c r="J73" s="12"/>
    </x:row>
    <x:row r="74" ht="15" hidden="0">
      <x:c r="A74" s="8"/>
      <x:c r="B74" s="21" t="s">
        <x:v>73</x:v>
      </x:c>
      <x:c r="C74" s="7" t="str">
        <x:v>óra</x:v>
      </x:c>
      <x:c r="D74" s="22" t="n">
        <x:v>0.05</x:v>
      </x:c>
      <x:c r="E74" s="23" t="n">
        <x:f aca="0">E65</x:f>
        <x:v>0</x:v>
      </x:c>
      <x:c r="F74" s="23" t="n">
        <x:f aca="0">D74*E74</x:f>
        <x:v>0</x:v>
      </x:c>
      <x:c r="G74" s="24" t="n">
        <x:v>0</x:v>
      </x:c>
      <x:c r="H74" s="25" t="n">
        <x:f aca="0">F74*G74</x:f>
        <x:v>0</x:v>
      </x:c>
      <x:c r="I74" s="7" t="str">
        <x:v>Gép</x:v>
      </x:c>
      <x:c r="J74" s="12"/>
    </x:row>
    <x:row r="75" ht="15" hidden="0">
      <x:c r="A75" s="26"/>
      <x:c r="B75" s="27" t="s">
        <x:v>74</x:v>
      </x:c>
      <x:c r="C75" s="26"/>
      <x:c r="D75" s="26"/>
      <x:c r="E75" s="26"/>
      <x:c r="F75" s="26"/>
      <x:c r="G75" s="26"/>
      <x:c r="H75" s="28" t="n">
        <x:f aca="0">SUM(H66:H74)</x:f>
        <x:v>0</x:v>
      </x:c>
      <x:c r="I75" s="26"/>
      <x:c r="J75" s="26"/>
    </x:row>
    <x:row r="77" ht="15" hidden="0">
      <x:c r="J77" s="14" t="s">
        <x:v>75</x:v>
      </x:c>
    </x:row>
    <x:row r="78" ht="15" hidden="0">
      <x:c r="A78" s="15" t="s">
        <x:v>49</x:v>
      </x:c>
      <x:c r="B78" s="16" t="str">
        <x:v>F1 - ipari padlókéreg-erősítés, simított-csiszolt (garázs)</x:v>
      </x:c>
      <x:c r="C78" s="15" t="s">
        <x:v>6</x:v>
      </x:c>
      <x:c r="D78" s="15" t="n">
        <x:v>1</x:v>
      </x:c>
      <x:c r="E78" s="17" t="n">
        <x:v>0</x:v>
      </x:c>
      <x:c r="F78" s="18" t="n">
        <x:f aca="0">D78*E78</x:f>
        <x:v>0</x:v>
      </x:c>
      <x:c r="G78" s="19" t="n">
        <x:v>0</x:v>
      </x:c>
      <x:c r="H78" s="20" t="n">
        <x:f aca="0">F78*G78</x:f>
        <x:v>0</x:v>
      </x:c>
    </x:row>
    <x:row r="79" ht="15" hidden="0">
      <x:c r="A79" s="8"/>
      <x:c r="B79" s="21" t="str">
        <x:v>padló hardener compound (3-5 kg/m²)</x:v>
      </x:c>
      <x:c r="C79" s="7" t="s">
        <x:v>51</x:v>
      </x:c>
      <x:c r="D79" s="22" t="n">
        <x:v>4</x:v>
      </x:c>
      <x:c r="E79" s="23" t="n">
        <x:f aca="0">E78</x:f>
        <x:v>0</x:v>
      </x:c>
      <x:c r="F79" s="23" t="n">
        <x:f aca="0">D79*E79</x:f>
        <x:v>0</x:v>
      </x:c>
      <x:c r="G79" s="24" t="n">
        <x:v>0</x:v>
      </x:c>
      <x:c r="H79" s="25" t="n">
        <x:f aca="0">F79*G79</x:f>
        <x:v>0</x:v>
      </x:c>
      <x:c r="I79" s="7" t="str">
        <x:v>Anyag</x:v>
      </x:c>
      <x:c r="J79" s="12" t="s">
        <x:v>76</x:v>
      </x:c>
    </x:row>
    <x:row r="80" ht="15" hidden="0">
      <x:c r="A80" s="8"/>
      <x:c r="B80" s="21" t="s">
        <x:v>70</x:v>
      </x:c>
      <x:c r="C80" s="7" t="s">
        <x:v>6</x:v>
      </x:c>
      <x:c r="D80" s="22" t="n">
        <x:v>1</x:v>
      </x:c>
      <x:c r="E80" s="23" t="n">
        <x:f aca="0">E78</x:f>
        <x:v>0</x:v>
      </x:c>
      <x:c r="F80" s="23" t="n">
        <x:f aca="0">D80*E80</x:f>
        <x:v>0</x:v>
      </x:c>
      <x:c r="G80" s="24" t="n">
        <x:v>0</x:v>
      </x:c>
      <x:c r="H80" s="25" t="n">
        <x:f aca="0">F80*G80</x:f>
        <x:v>0</x:v>
      </x:c>
      <x:c r="I80" s="7" t="str">
        <x:v>Anyag</x:v>
      </x:c>
      <x:c r="J80" s="12"/>
    </x:row>
    <x:row r="81" ht="15" hidden="0">
      <x:c r="A81" s="8"/>
      <x:c r="B81" s="21" t="s">
        <x:v>77</x:v>
      </x:c>
      <x:c r="C81" s="7" t="s">
        <x:v>6</x:v>
      </x:c>
      <x:c r="D81" s="22" t="n">
        <x:v>1</x:v>
      </x:c>
      <x:c r="E81" s="23" t="n">
        <x:f aca="0">E78</x:f>
        <x:v>0</x:v>
      </x:c>
      <x:c r="F81" s="23" t="n">
        <x:f aca="0">D81*E81</x:f>
        <x:v>0</x:v>
      </x:c>
      <x:c r="G81" s="24" t="n">
        <x:v>0</x:v>
      </x:c>
      <x:c r="H81" s="25" t="n">
        <x:f aca="0">F81*G81</x:f>
        <x:v>0</x:v>
      </x:c>
      <x:c r="I81" s="7" t="str">
        <x:v>Munkaerő</x:v>
      </x:c>
      <x:c r="J81" s="12"/>
    </x:row>
    <x:row r="82" ht="15" hidden="0">
      <x:c r="A82" s="8"/>
      <x:c r="B82" s="21" t="str">
        <x:v>Joint tömítőanyag</x:v>
      </x:c>
      <x:c r="C82" s="7" t="str">
        <x:v>fm</x:v>
      </x:c>
      <x:c r="D82" s="22" t="n">
        <x:v>0.3</x:v>
      </x:c>
      <x:c r="E82" s="23" t="n">
        <x:f aca="0">E78</x:f>
        <x:v>0</x:v>
      </x:c>
      <x:c r="F82" s="23" t="n">
        <x:f aca="0">D82*E82</x:f>
        <x:v>0</x:v>
      </x:c>
      <x:c r="G82" s="24" t="n">
        <x:v>0</x:v>
      </x:c>
      <x:c r="H82" s="25" t="n">
        <x:f aca="0">F82*G82</x:f>
        <x:v>0</x:v>
      </x:c>
      <x:c r="I82" s="7" t="str">
        <x:v>Anyag</x:v>
      </x:c>
      <x:c r="J82" s="12"/>
    </x:row>
    <x:row r="83" ht="15" hidden="0">
      <x:c r="A83" s="8"/>
      <x:c r="B83" s="21" t="s">
        <x:v>78</x:v>
      </x:c>
      <x:c r="C83" s="7" t="str">
        <x:v>óra</x:v>
      </x:c>
      <x:c r="D83" s="22" t="n">
        <x:v>0.15</x:v>
      </x:c>
      <x:c r="E83" s="23" t="n">
        <x:f aca="0">E78</x:f>
        <x:v>0</x:v>
      </x:c>
      <x:c r="F83" s="23" t="n">
        <x:f aca="0">D83*E83</x:f>
        <x:v>0</x:v>
      </x:c>
      <x:c r="G83" s="24" t="n">
        <x:v>0</x:v>
      </x:c>
      <x:c r="H83" s="25" t="n">
        <x:f aca="0">F83*G83</x:f>
        <x:v>0</x:v>
      </x:c>
      <x:c r="I83" s="7" t="str">
        <x:v>Munkaerő</x:v>
      </x:c>
      <x:c r="J83" s="12"/>
    </x:row>
    <x:row r="84" ht="15" hidden="0">
      <x:c r="A84" s="8"/>
      <x:c r="B84" s="21" t="s">
        <x:v>79</x:v>
      </x:c>
      <x:c r="C84" s="7" t="str">
        <x:v>óra</x:v>
      </x:c>
      <x:c r="D84" s="22" t="n">
        <x:v>0.25</x:v>
      </x:c>
      <x:c r="E84" s="23" t="n">
        <x:f aca="0">E78</x:f>
        <x:v>0</x:v>
      </x:c>
      <x:c r="F84" s="23" t="n">
        <x:f aca="0">D84*E84</x:f>
        <x:v>0</x:v>
      </x:c>
      <x:c r="G84" s="24" t="n">
        <x:v>0</x:v>
      </x:c>
      <x:c r="H84" s="25" t="n">
        <x:f aca="0">F84*G84</x:f>
        <x:v>0</x:v>
      </x:c>
      <x:c r="I84" s="7" t="str">
        <x:v>Munkaerő</x:v>
      </x:c>
      <x:c r="J84" s="12" t="s">
        <x:v>80</x:v>
      </x:c>
    </x:row>
    <x:row r="85" ht="15" hidden="0">
      <x:c r="A85" s="8"/>
      <x:c r="B85" s="21" t="s">
        <x:v>81</x:v>
      </x:c>
      <x:c r="C85" s="7" t="str">
        <x:v>óra</x:v>
      </x:c>
      <x:c r="D85" s="22" t="n">
        <x:v>0.1</x:v>
      </x:c>
      <x:c r="E85" s="23" t="n">
        <x:f aca="0">E78</x:f>
        <x:v>0</x:v>
      </x:c>
      <x:c r="F85" s="23" t="n">
        <x:f aca="0">D85*E85</x:f>
        <x:v>0</x:v>
      </x:c>
      <x:c r="G85" s="24" t="n">
        <x:v>0</x:v>
      </x:c>
      <x:c r="H85" s="25" t="n">
        <x:f aca="0">F85*G85</x:f>
        <x:v>0</x:v>
      </x:c>
      <x:c r="I85" s="7" t="str">
        <x:v>Gép</x:v>
      </x:c>
      <x:c r="J85" s="12"/>
    </x:row>
    <x:row r="86" ht="15" hidden="0">
      <x:c r="A86" s="26"/>
      <x:c r="B86" s="27" t="s">
        <x:v>82</x:v>
      </x:c>
      <x:c r="C86" s="26"/>
      <x:c r="D86" s="26"/>
      <x:c r="E86" s="26"/>
      <x:c r="F86" s="26"/>
      <x:c r="G86" s="26"/>
      <x:c r="H86" s="28" t="n">
        <x:f aca="0">SUM(H79:H85)</x:f>
        <x:v>0</x:v>
      </x:c>
      <x:c r="I86" s="26"/>
      <x:c r="J86" s="26"/>
    </x:row>
    <x:row r="88" ht="15" hidden="0">
      <x:c r="J88" s="14" t="s">
        <x:v>83</x:v>
      </x:c>
    </x:row>
    <x:row r="89" ht="15" hidden="0">
      <x:c r="A89" s="15" t="s">
        <x:v>49</x:v>
      </x:c>
      <x:c r="B89" s="16" t="str">
        <x:v>F2 - linóleum burkolat esztrichen (fürdőszoba)</x:v>
      </x:c>
      <x:c r="C89" s="15" t="s">
        <x:v>6</x:v>
      </x:c>
      <x:c r="D89" s="15" t="n">
        <x:v>1</x:v>
      </x:c>
      <x:c r="E89" s="17" t="n">
        <x:v>0</x:v>
      </x:c>
      <x:c r="F89" s="18" t="n">
        <x:f aca="0">D89*E89</x:f>
        <x:v>0</x:v>
      </x:c>
      <x:c r="G89" s="19" t="n">
        <x:v>0</x:v>
      </x:c>
      <x:c r="H89" s="20" t="n">
        <x:f aca="0">F89*G89</x:f>
        <x:v>0</x:v>
      </x:c>
    </x:row>
    <x:row r="90" ht="15" hidden="0">
      <x:c r="A90" s="8"/>
      <x:c r="B90" s="21" t="str">
        <x:v>Self-levelling esztrich (preparation)</x:v>
      </x:c>
      <x:c r="C90" s="7" t="s">
        <x:v>6</x:v>
      </x:c>
      <x:c r="D90" s="22" t="n">
        <x:v>1</x:v>
      </x:c>
      <x:c r="E90" s="23" t="n">
        <x:f aca="0">E89</x:f>
        <x:v>0</x:v>
      </x:c>
      <x:c r="F90" s="23" t="n">
        <x:f aca="0">D90*E90</x:f>
        <x:v>0</x:v>
      </x:c>
      <x:c r="G90" s="24" t="n">
        <x:v>0</x:v>
      </x:c>
      <x:c r="H90" s="25" t="n">
        <x:f aca="0">F90*G90</x:f>
        <x:v>0</x:v>
      </x:c>
      <x:c r="I90" s="7" t="str">
        <x:v>Anyag</x:v>
      </x:c>
      <x:c r="J90" s="12" t="str">
        <x:v>For smooth aljzat / fogadófelület</x:v>
      </x:c>
    </x:row>
    <x:row r="91" ht="15" hidden="0">
      <x:c r="A91" s="8"/>
      <x:c r="B91" s="21" t="str">
        <x:v>Sheet linóleum / vinyl</x:v>
      </x:c>
      <x:c r="C91" s="7" t="s">
        <x:v>6</x:v>
      </x:c>
      <x:c r="D91" s="22" t="n">
        <x:v>1.1</x:v>
      </x:c>
      <x:c r="E91" s="23" t="n">
        <x:f aca="0">E89</x:f>
        <x:v>0</x:v>
      </x:c>
      <x:c r="F91" s="23" t="n">
        <x:f aca="0">D91*E91</x:f>
        <x:v>0</x:v>
      </x:c>
      <x:c r="G91" s="24" t="n">
        <x:v>0</x:v>
      </x:c>
      <x:c r="H91" s="25" t="n">
        <x:f aca="0">F91*G91</x:f>
        <x:v>0</x:v>
      </x:c>
      <x:c r="I91" s="7" t="str">
        <x:v>Anyag</x:v>
      </x:c>
      <x:c r="J91" s="12" t="s">
        <x:v>84</x:v>
      </x:c>
    </x:row>
    <x:row r="92" ht="15" hidden="0">
      <x:c r="A92" s="8"/>
      <x:c r="B92" s="21" t="s">
        <x:v>85</x:v>
      </x:c>
      <x:c r="C92" s="7" t="s">
        <x:v>6</x:v>
      </x:c>
      <x:c r="D92" s="22" t="n">
        <x:v>1</x:v>
      </x:c>
      <x:c r="E92" s="23" t="n">
        <x:f aca="0">E89</x:f>
        <x:v>0</x:v>
      </x:c>
      <x:c r="F92" s="23" t="n">
        <x:f aca="0">D92*E92</x:f>
        <x:v>0</x:v>
      </x:c>
      <x:c r="G92" s="24" t="n">
        <x:v>0</x:v>
      </x:c>
      <x:c r="H92" s="25" t="n">
        <x:f aca="0">F92*G92</x:f>
        <x:v>0</x:v>
      </x:c>
      <x:c r="I92" s="7" t="str">
        <x:v>Anyag</x:v>
      </x:c>
      <x:c r="J92" s="12"/>
    </x:row>
    <x:row r="93" ht="15" hidden="0">
      <x:c r="A93" s="8"/>
      <x:c r="B93" s="21" t="str">
        <x:v>hegesztőzsinór (hőhegesztett illesztések)</x:v>
      </x:c>
      <x:c r="C93" s="7" t="str">
        <x:v>fm</x:v>
      </x:c>
      <x:c r="D93" s="22" t="n">
        <x:v>0.5</x:v>
      </x:c>
      <x:c r="E93" s="23" t="n">
        <x:f aca="0">E89</x:f>
        <x:v>0</x:v>
      </x:c>
      <x:c r="F93" s="23" t="n">
        <x:f aca="0">D93*E93</x:f>
        <x:v>0</x:v>
      </x:c>
      <x:c r="G93" s="24" t="n">
        <x:v>0</x:v>
      </x:c>
      <x:c r="H93" s="25" t="n">
        <x:f aca="0">F93*G93</x:f>
        <x:v>0</x:v>
      </x:c>
      <x:c r="I93" s="7" t="str">
        <x:v>Anyag</x:v>
      </x:c>
      <x:c r="J93" s="12"/>
    </x:row>
    <x:row r="94" ht="15" hidden="0">
      <x:c r="A94" s="8"/>
      <x:c r="B94" s="21" t="s">
        <x:v>86</x:v>
      </x:c>
      <x:c r="C94" s="7" t="str">
        <x:v>fm</x:v>
      </x:c>
      <x:c r="D94" s="22" t="n">
        <x:v>1.2</x:v>
      </x:c>
      <x:c r="E94" s="23" t="n">
        <x:f aca="0">E89</x:f>
        <x:v>0</x:v>
      </x:c>
      <x:c r="F94" s="23" t="n">
        <x:f aca="0">D94*E94</x:f>
        <x:v>0</x:v>
      </x:c>
      <x:c r="G94" s="24" t="n">
        <x:v>0</x:v>
      </x:c>
      <x:c r="H94" s="25" t="n">
        <x:f aca="0">F94*G94</x:f>
        <x:v>0</x:v>
      </x:c>
      <x:c r="I94" s="7" t="str">
        <x:v>Anyag</x:v>
      </x:c>
      <x:c r="J94" s="12" t="str">
        <x:v>felhajtott szegély a falra ~100mm</x:v>
      </x:c>
    </x:row>
    <x:row r="95" ht="15" hidden="0">
      <x:c r="A95" s="8"/>
      <x:c r="B95" s="21" t="s">
        <x:v>87</x:v>
      </x:c>
      <x:c r="C95" s="7" t="str">
        <x:v>óra</x:v>
      </x:c>
      <x:c r="D95" s="22" t="n">
        <x:v>0.5</x:v>
      </x:c>
      <x:c r="E95" s="23" t="n">
        <x:f aca="0">E89</x:f>
        <x:v>0</x:v>
      </x:c>
      <x:c r="F95" s="23" t="n">
        <x:f aca="0">D95*E95</x:f>
        <x:v>0</x:v>
      </x:c>
      <x:c r="G95" s="24" t="n">
        <x:v>0</x:v>
      </x:c>
      <x:c r="H95" s="25" t="n">
        <x:f aca="0">F95*G95</x:f>
        <x:v>0</x:v>
      </x:c>
      <x:c r="I95" s="7" t="str">
        <x:v>Munkaerő</x:v>
      </x:c>
      <x:c r="J95" s="12"/>
    </x:row>
    <x:row r="96" ht="15" hidden="0">
      <x:c r="A96" s="8"/>
      <x:c r="B96" s="21" t="str">
        <x:v>Labour - esztrich prep</x:v>
      </x:c>
      <x:c r="C96" s="7" t="str">
        <x:v>óra</x:v>
      </x:c>
      <x:c r="D96" s="22" t="n">
        <x:v>0.15</x:v>
      </x:c>
      <x:c r="E96" s="23" t="n">
        <x:f aca="0">E89</x:f>
        <x:v>0</x:v>
      </x:c>
      <x:c r="F96" s="23" t="n">
        <x:f aca="0">D96*E96</x:f>
        <x:v>0</x:v>
      </x:c>
      <x:c r="G96" s="24" t="n">
        <x:v>0</x:v>
      </x:c>
      <x:c r="H96" s="25" t="n">
        <x:f aca="0">F96*G96</x:f>
        <x:v>0</x:v>
      </x:c>
      <x:c r="I96" s="7" t="str">
        <x:v>Munkaerő</x:v>
      </x:c>
      <x:c r="J96" s="12"/>
    </x:row>
    <x:row r="97" ht="15" hidden="0">
      <x:c r="A97" s="26"/>
      <x:c r="B97" s="27" t="s">
        <x:v>88</x:v>
      </x:c>
      <x:c r="C97" s="26"/>
      <x:c r="D97" s="26"/>
      <x:c r="E97" s="26"/>
      <x:c r="F97" s="26"/>
      <x:c r="G97" s="26"/>
      <x:c r="H97" s="28" t="n">
        <x:f aca="0">SUM(H90:H96)</x:f>
        <x:v>0</x:v>
      </x:c>
      <x:c r="I97" s="26"/>
      <x:c r="J97" s="26"/>
    </x:row>
    <x:row r="99" ht="15" hidden="0">
      <x:c r="J99" s="14" t="str">
        <x:v>Mennyiségfelvétel hivatkozás 4.1</x:v>
      </x:c>
    </x:row>
    <x:row r="100" ht="15" hidden="0">
      <x:c r="A100" s="15" t="s">
        <x:v>49</x:v>
      </x:c>
      <x:c r="B100" s="16" t="str">
        <x:v>R2 - gipszkarton mennyezet fém tartóvázon</x:v>
      </x:c>
      <x:c r="C100" s="15" t="s">
        <x:v>6</x:v>
      </x:c>
      <x:c r="D100" s="15" t="n">
        <x:v>1</x:v>
      </x:c>
      <x:c r="E100" s="17" t="n">
        <x:v>0</x:v>
      </x:c>
      <x:c r="F100" s="18" t="n">
        <x:f aca="0">D100*E100</x:f>
        <x:v>0</x:v>
      </x:c>
      <x:c r="G100" s="19" t="n">
        <x:v>0</x:v>
      </x:c>
      <x:c r="H100" s="20" t="n">
        <x:f aca="0">F100*G100</x:f>
        <x:v>0</x:v>
      </x:c>
    </x:row>
    <x:row r="101" ht="15" hidden="0">
      <x:c r="A101" s="8"/>
      <x:c r="B101" s="21" t="str">
        <x:v>gipszkarton - 13mm standard</x:v>
      </x:c>
      <x:c r="C101" s="7" t="s">
        <x:v>6</x:v>
      </x:c>
      <x:c r="D101" s="22" t="n">
        <x:v>1.05</x:v>
      </x:c>
      <x:c r="E101" s="23" t="n">
        <x:f aca="0">E100</x:f>
        <x:v>0</x:v>
      </x:c>
      <x:c r="F101" s="23" t="n">
        <x:f aca="0">D101*E101</x:f>
        <x:v>0</x:v>
      </x:c>
      <x:c r="G101" s="24" t="n">
        <x:v>0</x:v>
      </x:c>
      <x:c r="H101" s="25" t="n">
        <x:f aca="0">F101*G101</x:f>
        <x:v>0</x:v>
      </x:c>
      <x:c r="I101" s="7" t="str">
        <x:v>Anyag</x:v>
      </x:c>
      <x:c r="J101" s="12" t="s">
        <x:v>89</x:v>
      </x:c>
    </x:row>
    <x:row r="102" ht="15" hidden="0">
      <x:c r="A102" s="8"/>
      <x:c r="B102" s="21" t="str">
        <x:v>fém tartóváz árkok / csatornák</x:v>
      </x:c>
      <x:c r="C102" s="7" t="str">
        <x:v>fm</x:v>
      </x:c>
      <x:c r="D102" s="22" t="n">
        <x:v>3.5</x:v>
      </x:c>
      <x:c r="E102" s="23" t="n">
        <x:f aca="0">E100</x:f>
        <x:v>0</x:v>
      </x:c>
      <x:c r="F102" s="23" t="n">
        <x:f aca="0">D102*E102</x:f>
        <x:v>0</x:v>
      </x:c>
      <x:c r="G102" s="24" t="n">
        <x:v>0</x:v>
      </x:c>
      <x:c r="H102" s="25" t="n">
        <x:f aca="0">F102*G102</x:f>
        <x:v>0</x:v>
      </x:c>
      <x:c r="I102" s="7" t="str">
        <x:v>Anyag</x:v>
      </x:c>
      <x:c r="J102" s="12" t="s">
        <x:v>90</x:v>
      </x:c>
    </x:row>
    <x:row r="103" ht="15" hidden="0">
      <x:c r="A103" s="8"/>
      <x:c r="B103" s="21" t="s">
        <x:v>91</x:v>
      </x:c>
      <x:c r="C103" s="7" t="str">
        <x:v>db</x:v>
      </x:c>
      <x:c r="D103" s="22" t="n">
        <x:v>2</x:v>
      </x:c>
      <x:c r="E103" s="23" t="n">
        <x:f aca="0">E100</x:f>
        <x:v>0</x:v>
      </x:c>
      <x:c r="F103" s="23" t="n">
        <x:f aca="0">D103*E103</x:f>
        <x:v>0</x:v>
      </x:c>
      <x:c r="G103" s="24" t="n">
        <x:v>0</x:v>
      </x:c>
      <x:c r="H103" s="25" t="n">
        <x:f aca="0">F103*G103</x:f>
        <x:v>0</x:v>
      </x:c>
      <x:c r="I103" s="7" t="str">
        <x:v>Anyag</x:v>
      </x:c>
      <x:c r="J103" s="12" t="s">
        <x:v>92</x:v>
      </x:c>
    </x:row>
    <x:row r="104" ht="15" hidden="0">
      <x:c r="A104" s="8"/>
      <x:c r="B104" s="21" t="s">
        <x:v>93</x:v>
      </x:c>
      <x:c r="C104" s="7" t="s">
        <x:v>51</x:v>
      </x:c>
      <x:c r="D104" s="22" t="n">
        <x:v>0.05</x:v>
      </x:c>
      <x:c r="E104" s="23" t="n">
        <x:f aca="0">E100</x:f>
        <x:v>0</x:v>
      </x:c>
      <x:c r="F104" s="23" t="n">
        <x:f aca="0">D104*E104</x:f>
        <x:v>0</x:v>
      </x:c>
      <x:c r="G104" s="24" t="n">
        <x:v>0</x:v>
      </x:c>
      <x:c r="H104" s="25" t="n">
        <x:f aca="0">F104*G104</x:f>
        <x:v>0</x:v>
      </x:c>
      <x:c r="I104" s="7" t="str">
        <x:v>Anyag</x:v>
      </x:c>
      <x:c r="J104" s="12"/>
    </x:row>
    <x:row r="105" ht="15" hidden="0">
      <x:c r="A105" s="8"/>
      <x:c r="B105" s="21" t="str">
        <x:v>Joint compound + szalag</x:v>
      </x:c>
      <x:c r="C105" s="7" t="s">
        <x:v>6</x:v>
      </x:c>
      <x:c r="D105" s="22" t="n">
        <x:v>1</x:v>
      </x:c>
      <x:c r="E105" s="23" t="n">
        <x:f aca="0">E100</x:f>
        <x:v>0</x:v>
      </x:c>
      <x:c r="F105" s="23" t="n">
        <x:f aca="0">D105*E105</x:f>
        <x:v>0</x:v>
      </x:c>
      <x:c r="G105" s="24" t="n">
        <x:v>0</x:v>
      </x:c>
      <x:c r="H105" s="25" t="n">
        <x:f aca="0">F105*G105</x:f>
        <x:v>0</x:v>
      </x:c>
      <x:c r="I105" s="7" t="str">
        <x:v>Anyag</x:v>
      </x:c>
      <x:c r="J105" s="12"/>
    </x:row>
    <x:row r="106" ht="15" hidden="0">
      <x:c r="A106" s="8"/>
      <x:c r="B106" s="21" t="str">
        <x:v>Stopping (3 rétegek)</x:v>
      </x:c>
      <x:c r="C106" s="7" t="s">
        <x:v>6</x:v>
      </x:c>
      <x:c r="D106" s="22" t="n">
        <x:v>1</x:v>
      </x:c>
      <x:c r="E106" s="23" t="n">
        <x:f aca="0">E100</x:f>
        <x:v>0</x:v>
      </x:c>
      <x:c r="F106" s="23" t="n">
        <x:f aca="0">D106*E106</x:f>
        <x:v>0</x:v>
      </x:c>
      <x:c r="G106" s="24" t="n">
        <x:v>0</x:v>
      </x:c>
      <x:c r="H106" s="25" t="n">
        <x:f aca="0">F106*G106</x:f>
        <x:v>0</x:v>
      </x:c>
      <x:c r="I106" s="7" t="str">
        <x:v>Anyag</x:v>
      </x:c>
      <x:c r="J106" s="12"/>
    </x:row>
    <x:row r="107" ht="15" hidden="0">
      <x:c r="A107" s="8"/>
      <x:c r="B107" s="21" t="str">
        <x:v>festék - primer + 2 rétegek</x:v>
      </x:c>
      <x:c r="C107" s="7" t="s">
        <x:v>6</x:v>
      </x:c>
      <x:c r="D107" s="22" t="n">
        <x:v>1</x:v>
      </x:c>
      <x:c r="E107" s="23" t="n">
        <x:f aca="0">E100</x:f>
        <x:v>0</x:v>
      </x:c>
      <x:c r="F107" s="23" t="n">
        <x:f aca="0">D107*E107</x:f>
        <x:v>0</x:v>
      </x:c>
      <x:c r="G107" s="24" t="n">
        <x:v>0</x:v>
      </x:c>
      <x:c r="H107" s="25" t="n">
        <x:f aca="0">F107*G107</x:f>
        <x:v>0</x:v>
      </x:c>
      <x:c r="I107" s="7" t="str">
        <x:v>Festés</x:v>
      </x:c>
      <x:c r="J107" s="12"/>
    </x:row>
    <x:row r="108" ht="15" hidden="0">
      <x:c r="A108" s="8"/>
      <x:c r="B108" s="21" t="str">
        <x:v>Labour - mennyezet fixer</x:v>
      </x:c>
      <x:c r="C108" s="7" t="str">
        <x:v>óra</x:v>
      </x:c>
      <x:c r="D108" s="22" t="n">
        <x:v>0.4</x:v>
      </x:c>
      <x:c r="E108" s="23" t="n">
        <x:f aca="0">E100</x:f>
        <x:v>0</x:v>
      </x:c>
      <x:c r="F108" s="23" t="n">
        <x:f aca="0">D108*E108</x:f>
        <x:v>0</x:v>
      </x:c>
      <x:c r="G108" s="24" t="n">
        <x:v>0</x:v>
      </x:c>
      <x:c r="H108" s="25" t="n">
        <x:f aca="0">F108*G108</x:f>
        <x:v>0</x:v>
      </x:c>
      <x:c r="I108" s="7" t="str">
        <x:v>Munkaerő</x:v>
      </x:c>
      <x:c r="J108" s="12"/>
    </x:row>
    <x:row r="109" ht="15" hidden="0">
      <x:c r="A109" s="8"/>
      <x:c r="B109" s="21" t="s">
        <x:v>94</x:v>
      </x:c>
      <x:c r="C109" s="7" t="str">
        <x:v>óra</x:v>
      </x:c>
      <x:c r="D109" s="22" t="n">
        <x:v>0.3</x:v>
      </x:c>
      <x:c r="E109" s="23" t="n">
        <x:f aca="0">E100</x:f>
        <x:v>0</x:v>
      </x:c>
      <x:c r="F109" s="23" t="n">
        <x:f aca="0">D109*E109</x:f>
        <x:v>0</x:v>
      </x:c>
      <x:c r="G109" s="24" t="n">
        <x:v>0</x:v>
      </x:c>
      <x:c r="H109" s="25" t="n">
        <x:f aca="0">F109*G109</x:f>
        <x:v>0</x:v>
      </x:c>
      <x:c r="I109" s="7" t="str">
        <x:v>Munkaerő</x:v>
      </x:c>
      <x:c r="J109" s="12"/>
    </x:row>
    <x:row r="110" ht="15" hidden="0">
      <x:c r="A110" s="8"/>
      <x:c r="B110" s="21" t="s">
        <x:v>54</x:v>
      </x:c>
      <x:c r="C110" s="7" t="str">
        <x:v>óra</x:v>
      </x:c>
      <x:c r="D110" s="22" t="n">
        <x:v>0.15</x:v>
      </x:c>
      <x:c r="E110" s="23" t="n">
        <x:f aca="0">E100</x:f>
        <x:v>0</x:v>
      </x:c>
      <x:c r="F110" s="23" t="n">
        <x:f aca="0">D110*E110</x:f>
        <x:v>0</x:v>
      </x:c>
      <x:c r="G110" s="24" t="n">
        <x:v>0</x:v>
      </x:c>
      <x:c r="H110" s="25" t="n">
        <x:f aca="0">F110*G110</x:f>
        <x:v>0</x:v>
      </x:c>
      <x:c r="I110" s="7" t="str">
        <x:v>Munkaerő</x:v>
      </x:c>
      <x:c r="J110" s="12"/>
    </x:row>
    <x:row r="111" ht="15" hidden="0">
      <x:c r="A111" s="8"/>
      <x:c r="B111" s="21" t="s">
        <x:v>95</x:v>
      </x:c>
      <x:c r="C111" s="7" t="s">
        <x:v>6</x:v>
      </x:c>
      <x:c r="D111" s="22" t="n">
        <x:v>0.1</x:v>
      </x:c>
      <x:c r="E111" s="23" t="n">
        <x:f aca="0">E100</x:f>
        <x:v>0</x:v>
      </x:c>
      <x:c r="F111" s="23" t="n">
        <x:f aca="0">D111*E111</x:f>
        <x:v>0</x:v>
      </x:c>
      <x:c r="G111" s="24" t="n">
        <x:v>0</x:v>
      </x:c>
      <x:c r="H111" s="25" t="n">
        <x:f aca="0">F111*G111</x:f>
        <x:v>0</x:v>
      </x:c>
      <x:c r="I111" s="7" t="str">
        <x:v>Gép</x:v>
      </x:c>
      <x:c r="J111" s="12" t="s">
        <x:v>96</x:v>
      </x:c>
    </x:row>
    <x:row r="112" ht="15" hidden="0">
      <x:c r="A112" s="26"/>
      <x:c r="B112" s="27" t="s">
        <x:v>97</x:v>
      </x:c>
      <x:c r="C112" s="26"/>
      <x:c r="D112" s="26"/>
      <x:c r="E112" s="26"/>
      <x:c r="F112" s="26"/>
      <x:c r="G112" s="26"/>
      <x:c r="H112" s="28" t="n">
        <x:f aca="0">SUM(H101:H111)</x:f>
        <x:v>0</x:v>
      </x:c>
      <x:c r="I112" s="26"/>
      <x:c r="J112" s="26"/>
    </x:row>
    <x:row r="114" ht="15" hidden="0">
      <x:c r="J114" s="14" t="s">
        <x:v>98</x:v>
      </x:c>
    </x:row>
    <x:row r="115" ht="15" hidden="0">
      <x:c r="A115" s="15" t="s">
        <x:v>49</x:v>
      </x:c>
      <x:c r="B115" s="16" t="str">
        <x:v>D1 - Hollow acél ajtó (F5+F4+F1) tok / keret</x:v>
      </x:c>
      <x:c r="C115" s="15" t="str">
        <x:v>db</x:v>
      </x:c>
      <x:c r="D115" s="15" t="n">
        <x:v>1</x:v>
      </x:c>
      <x:c r="E115" s="17" t="n">
        <x:v>0</x:v>
      </x:c>
      <x:c r="F115" s="18" t="n">
        <x:f aca="0">D115*E115</x:f>
        <x:v>0</x:v>
      </x:c>
      <x:c r="G115" s="19" t="n">
        <x:v>0</x:v>
      </x:c>
      <x:c r="H115" s="20" t="n">
        <x:f aca="0">F115*G115</x:f>
        <x:v>0</x:v>
      </x:c>
    </x:row>
    <x:row r="116" ht="15" hidden="0">
      <x:c r="A116" s="8"/>
      <x:c r="B116" s="21" t="str">
        <x:v>ajtólap - hollow acél 900×2100</x:v>
      </x:c>
      <x:c r="C116" s="7" t="str">
        <x:v>db</x:v>
      </x:c>
      <x:c r="D116" s="22" t="n">
        <x:v>1</x:v>
      </x:c>
      <x:c r="E116" s="23" t="n">
        <x:f aca="0">E115</x:f>
        <x:v>0</x:v>
      </x:c>
      <x:c r="F116" s="23" t="n">
        <x:f aca="0">D116*E116</x:f>
        <x:v>0</x:v>
      </x:c>
      <x:c r="G116" s="24" t="n">
        <x:v>0</x:v>
      </x:c>
      <x:c r="H116" s="25" t="n">
        <x:f aca="0">F116*G116</x:f>
        <x:v>0</x:v>
      </x:c>
      <x:c r="I116" s="7" t="str">
        <x:v>Anyag</x:v>
      </x:c>
      <x:c r="J116" s="12" t="str">
        <x:v>hőszigetelt mag typical</x:v>
      </x:c>
    </x:row>
    <x:row r="117" ht="15" hidden="0">
      <x:c r="A117" s="8"/>
      <x:c r="B117" s="21" t="str">
        <x:v>Pressed acél tok / keret</x:v>
      </x:c>
      <x:c r="C117" s="7" t="str">
        <x:v>db</x:v>
      </x:c>
      <x:c r="D117" s="22" t="n">
        <x:v>1</x:v>
      </x:c>
      <x:c r="E117" s="23" t="n">
        <x:f aca="0">E115</x:f>
        <x:v>0</x:v>
      </x:c>
      <x:c r="F117" s="23" t="n">
        <x:f aca="0">D117*E117</x:f>
        <x:v>0</x:v>
      </x:c>
      <x:c r="G117" s="24" t="n">
        <x:v>0</x:v>
      </x:c>
      <x:c r="H117" s="25" t="n">
        <x:f aca="0">F117*G117</x:f>
        <x:v>0</x:v>
      </x:c>
      <x:c r="I117" s="7" t="str">
        <x:v>Anyag</x:v>
      </x:c>
      <x:c r="J117" s="12" t="s">
        <x:v>99</x:v>
      </x:c>
    </x:row>
    <x:row r="118" ht="15" hidden="0">
      <x:c r="A118" s="8"/>
      <x:c r="B118" s="21" t="str">
        <x:v>ajtó stop és seal</x:v>
      </x:c>
      <x:c r="C118" s="7" t="str">
        <x:v>fm</x:v>
      </x:c>
      <x:c r="D118" s="22" t="n">
        <x:v>5</x:v>
      </x:c>
      <x:c r="E118" s="23" t="n">
        <x:f aca="0">E115</x:f>
        <x:v>0</x:v>
      </x:c>
      <x:c r="F118" s="23" t="n">
        <x:f aca="0">D118*E118</x:f>
        <x:v>0</x:v>
      </x:c>
      <x:c r="G118" s="24" t="n">
        <x:v>0</x:v>
      </x:c>
      <x:c r="H118" s="25" t="n">
        <x:f aca="0">F118*G118</x:f>
        <x:v>0</x:v>
      </x:c>
      <x:c r="I118" s="7" t="str">
        <x:v>Anyag</x:v>
      </x:c>
      <x:c r="J118" s="12" t="str">
        <x:v>tok / keret perimeter</x:v>
      </x:c>
    </x:row>
    <x:row r="119" ht="15" hidden="0">
      <x:c r="A119" s="8"/>
      <x:c r="B119" s="21" t="str">
        <x:v>pántok - nagy teherbírású</x:v>
      </x:c>
      <x:c r="C119" s="7" t="str">
        <x:v>db</x:v>
      </x:c>
      <x:c r="D119" s="22" t="n">
        <x:v>3</x:v>
      </x:c>
      <x:c r="E119" s="23" t="n">
        <x:f aca="0">E115</x:f>
        <x:v>0</x:v>
      </x:c>
      <x:c r="F119" s="23" t="n">
        <x:f aca="0">D119*E119</x:f>
        <x:v>0</x:v>
      </x:c>
      <x:c r="G119" s="24" t="n">
        <x:v>0</x:v>
      </x:c>
      <x:c r="H119" s="25" t="n">
        <x:f aca="0">F119*G119</x:f>
        <x:v>0</x:v>
      </x:c>
      <x:c r="I119" s="7" t="s">
        <x:v>100</x:v>
      </x:c>
      <x:c r="J119" s="12"/>
    </x:row>
    <x:row r="120" ht="15" hidden="0">
      <x:c r="A120" s="8"/>
      <x:c r="B120" s="21" t="s">
        <x:v>101</x:v>
      </x:c>
      <x:c r="C120" s="7" t="str">
        <x:v>db</x:v>
      </x:c>
      <x:c r="D120" s="22" t="n">
        <x:v>1</x:v>
      </x:c>
      <x:c r="E120" s="23" t="n">
        <x:f aca="0">E115</x:f>
        <x:v>0</x:v>
      </x:c>
      <x:c r="F120" s="23" t="n">
        <x:f aca="0">D120*E120</x:f>
        <x:v>0</x:v>
      </x:c>
      <x:c r="G120" s="24" t="n">
        <x:v>0</x:v>
      </x:c>
      <x:c r="H120" s="25" t="n">
        <x:f aca="0">F120*G120</x:f>
        <x:v>0</x:v>
      </x:c>
      <x:c r="I120" s="7" t="s">
        <x:v>100</x:v>
      </x:c>
      <x:c r="J120" s="12"/>
    </x:row>
    <x:row r="121" ht="15" hidden="0">
      <x:c r="A121" s="8"/>
      <x:c r="B121" s="21" t="str">
        <x:v>ajtó closer</x:v>
      </x:c>
      <x:c r="C121" s="7" t="str">
        <x:v>db</x:v>
      </x:c>
      <x:c r="D121" s="22" t="n">
        <x:v>1</x:v>
      </x:c>
      <x:c r="E121" s="23" t="n">
        <x:f aca="0">E115</x:f>
        <x:v>0</x:v>
      </x:c>
      <x:c r="F121" s="23" t="n">
        <x:f aca="0">D121*E121</x:f>
        <x:v>0</x:v>
      </x:c>
      <x:c r="G121" s="24" t="n">
        <x:v>0</x:v>
      </x:c>
      <x:c r="H121" s="25" t="n">
        <x:f aca="0">F121*G121</x:f>
        <x:v>0</x:v>
      </x:c>
      <x:c r="I121" s="7" t="s">
        <x:v>100</x:v>
      </x:c>
      <x:c r="J121" s="12"/>
    </x:row>
    <x:row r="122" ht="15" hidden="0">
      <x:c r="A122" s="8"/>
      <x:c r="B122" s="21" t="str">
        <x:v>borítás / takaróléc mindkét oldalon</x:v>
      </x:c>
      <x:c r="C122" s="7" t="str">
        <x:v>fm</x:v>
      </x:c>
      <x:c r="D122" s="22" t="n">
        <x:v>5</x:v>
      </x:c>
      <x:c r="E122" s="23" t="n">
        <x:f aca="0">E115</x:f>
        <x:v>0</x:v>
      </x:c>
      <x:c r="F122" s="23" t="n">
        <x:f aca="0">D122*E122</x:f>
        <x:v>0</x:v>
      </x:c>
      <x:c r="G122" s="24" t="n">
        <x:v>0</x:v>
      </x:c>
      <x:c r="H122" s="25" t="n">
        <x:f aca="0">F122*G122</x:f>
        <x:v>0</x:v>
      </x:c>
      <x:c r="I122" s="7" t="str">
        <x:v>Anyag</x:v>
      </x:c>
      <x:c r="J122" s="12"/>
    </x:row>
    <x:row r="123" ht="15" hidden="0">
      <x:c r="A123" s="8"/>
      <x:c r="B123" s="21" t="s">
        <x:v>102</x:v>
      </x:c>
      <x:c r="C123" s="7" t="str">
        <x:v>fm</x:v>
      </x:c>
      <x:c r="D123" s="22" t="n">
        <x:v>1</x:v>
      </x:c>
      <x:c r="E123" s="23" t="n">
        <x:f aca="0">E115</x:f>
        <x:v>0</x:v>
      </x:c>
      <x:c r="F123" s="23" t="n">
        <x:f aca="0">D123*E123</x:f>
        <x:v>0</x:v>
      </x:c>
      <x:c r="G123" s="24" t="n">
        <x:v>0</x:v>
      </x:c>
      <x:c r="H123" s="25" t="n">
        <x:f aca="0">F123*G123</x:f>
        <x:v>0</x:v>
      </x:c>
      <x:c r="I123" s="7" t="str">
        <x:v>Anyag</x:v>
      </x:c>
      <x:c r="J123" s="12" t="str">
        <x:v>ajtó szélesség</x:v>
      </x:c>
    </x:row>
    <x:row r="124" ht="15" hidden="0">
      <x:c r="A124" s="8"/>
      <x:c r="B124" s="21" t="str">
        <x:v>korróziógátló festék alapozó</x:v>
      </x:c>
      <x:c r="C124" s="7" t="s">
        <x:v>6</x:v>
      </x:c>
      <x:c r="D124" s="22" t="n">
        <x:v>4</x:v>
      </x:c>
      <x:c r="E124" s="23" t="n">
        <x:f aca="0">E115</x:f>
        <x:v>0</x:v>
      </x:c>
      <x:c r="F124" s="23" t="n">
        <x:f aca="0">D124*E124</x:f>
        <x:v>0</x:v>
      </x:c>
      <x:c r="G124" s="24" t="n">
        <x:v>0</x:v>
      </x:c>
      <x:c r="H124" s="25" t="n">
        <x:f aca="0">F124*G124</x:f>
        <x:v>0</x:v>
      </x:c>
      <x:c r="I124" s="7" t="str">
        <x:v>Festés</x:v>
      </x:c>
      <x:c r="J124" s="12" t="s">
        <x:v>103</x:v>
      </x:c>
    </x:row>
    <x:row r="125" ht="15" hidden="0">
      <x:c r="A125" s="8"/>
      <x:c r="B125" s="21" t="str">
        <x:v>Oil-based topcoat (2 rétegek)</x:v>
      </x:c>
      <x:c r="C125" s="7" t="s">
        <x:v>6</x:v>
      </x:c>
      <x:c r="D125" s="22" t="n">
        <x:v>4</x:v>
      </x:c>
      <x:c r="E125" s="23" t="n">
        <x:f aca="0">E115</x:f>
        <x:v>0</x:v>
      </x:c>
      <x:c r="F125" s="23" t="n">
        <x:f aca="0">D125*E125</x:f>
        <x:v>0</x:v>
      </x:c>
      <x:c r="G125" s="24" t="n">
        <x:v>0</x:v>
      </x:c>
      <x:c r="H125" s="25" t="n">
        <x:f aca="0">F125*G125</x:f>
        <x:v>0</x:v>
      </x:c>
      <x:c r="I125" s="7" t="str">
        <x:v>Festés</x:v>
      </x:c>
      <x:c r="J125" s="12"/>
    </x:row>
    <x:row r="126" ht="15" hidden="0">
      <x:c r="A126" s="8"/>
      <x:c r="B126" s="21" t="str">
        <x:v>Labour - ajtó installer</x:v>
      </x:c>
      <x:c r="C126" s="7" t="str">
        <x:v>óra</x:v>
      </x:c>
      <x:c r="D126" s="22" t="n">
        <x:v>3</x:v>
      </x:c>
      <x:c r="E126" s="23" t="n">
        <x:f aca="0">E115</x:f>
        <x:v>0</x:v>
      </x:c>
      <x:c r="F126" s="23" t="n">
        <x:f aca="0">D126*E126</x:f>
        <x:v>0</x:v>
      </x:c>
      <x:c r="G126" s="24" t="n">
        <x:v>0</x:v>
      </x:c>
      <x:c r="H126" s="25" t="n">
        <x:f aca="0">F126*G126</x:f>
        <x:v>0</x:v>
      </x:c>
      <x:c r="I126" s="7" t="str">
        <x:v>Munkaerő</x:v>
      </x:c>
      <x:c r="J126" s="12"/>
    </x:row>
    <x:row r="127" ht="15" hidden="0">
      <x:c r="A127" s="8"/>
      <x:c r="B127" s="21" t="s">
        <x:v>54</x:v>
      </x:c>
      <x:c r="C127" s="7" t="str">
        <x:v>óra</x:v>
      </x:c>
      <x:c r="D127" s="22" t="n">
        <x:v>0.5</x:v>
      </x:c>
      <x:c r="E127" s="23" t="n">
        <x:f aca="0">E115</x:f>
        <x:v>0</x:v>
      </x:c>
      <x:c r="F127" s="23" t="n">
        <x:f aca="0">D127*E127</x:f>
        <x:v>0</x:v>
      </x:c>
      <x:c r="G127" s="24" t="n">
        <x:v>0</x:v>
      </x:c>
      <x:c r="H127" s="25" t="n">
        <x:f aca="0">F127*G127</x:f>
        <x:v>0</x:v>
      </x:c>
      <x:c r="I127" s="7" t="str">
        <x:v>Munkaerő</x:v>
      </x:c>
      <x:c r="J127" s="12"/>
    </x:row>
    <x:row r="128" ht="15" hidden="0">
      <x:c r="A128" s="26"/>
      <x:c r="B128" s="27" t="s">
        <x:v>104</x:v>
      </x:c>
      <x:c r="C128" s="26"/>
      <x:c r="D128" s="26"/>
      <x:c r="E128" s="26"/>
      <x:c r="F128" s="26"/>
      <x:c r="G128" s="26"/>
      <x:c r="H128" s="28" t="n">
        <x:f aca="0">SUM(H116:H127)</x:f>
        <x:v>0</x:v>
      </x:c>
      <x:c r="I128" s="26"/>
      <x:c r="J128" s="26"/>
    </x:row>
    <x:row r="130" ht="15" hidden="0">
      <x:c r="J130" s="14" t="s">
        <x:v>105</x:v>
      </x:c>
    </x:row>
    <x:row r="131" ht="15" hidden="0">
      <x:c r="A131" s="15" t="s">
        <x:v>49</x:v>
      </x:c>
      <x:c r="B131" s="16" t="str">
        <x:v>D3 - Laminated wood / honeycomb ajtó (L1+B1)</x:v>
      </x:c>
      <x:c r="C131" s="15" t="str">
        <x:v>db</x:v>
      </x:c>
      <x:c r="D131" s="15" t="n">
        <x:v>1</x:v>
      </x:c>
      <x:c r="E131" s="17" t="n">
        <x:v>0</x:v>
      </x:c>
      <x:c r="F131" s="18" t="n">
        <x:f aca="0">D131*E131</x:f>
        <x:v>0</x:v>
      </x:c>
      <x:c r="G131" s="19" t="n">
        <x:v>0</x:v>
      </x:c>
      <x:c r="H131" s="20" t="n">
        <x:f aca="0">F131*G131</x:f>
        <x:v>0</x:v>
      </x:c>
    </x:row>
    <x:row r="132" ht="15" hidden="0">
      <x:c r="A132" s="8"/>
      <x:c r="B132" s="21" t="str">
        <x:v>ajtólap - sík laminált 800×2100</x:v>
      </x:c>
      <x:c r="C132" s="7" t="str">
        <x:v>db</x:v>
      </x:c>
      <x:c r="D132" s="22" t="n">
        <x:v>1</x:v>
      </x:c>
      <x:c r="E132" s="23" t="n">
        <x:f aca="0">E131</x:f>
        <x:v>0</x:v>
      </x:c>
      <x:c r="F132" s="23" t="n">
        <x:f aca="0">D132*E132</x:f>
        <x:v>0</x:v>
      </x:c>
      <x:c r="G132" s="24" t="n">
        <x:v>0</x:v>
      </x:c>
      <x:c r="H132" s="25" t="n">
        <x:f aca="0">F132*G132</x:f>
        <x:v>0</x:v>
      </x:c>
      <x:c r="I132" s="7" t="str">
        <x:v>Anyag</x:v>
      </x:c>
      <x:c r="J132" s="12"/>
    </x:row>
    <x:row r="133" ht="15" hidden="0">
      <x:c r="A133" s="8"/>
      <x:c r="B133" s="21" t="str">
        <x:v>Timber tok / keret</x:v>
      </x:c>
      <x:c r="C133" s="7" t="str">
        <x:v>db</x:v>
      </x:c>
      <x:c r="D133" s="22" t="n">
        <x:v>1</x:v>
      </x:c>
      <x:c r="E133" s="23" t="n">
        <x:f aca="0">E131</x:f>
        <x:v>0</x:v>
      </x:c>
      <x:c r="F133" s="23" t="n">
        <x:f aca="0">D133*E133</x:f>
        <x:v>0</x:v>
      </x:c>
      <x:c r="G133" s="24" t="n">
        <x:v>0</x:v>
      </x:c>
      <x:c r="H133" s="25" t="n">
        <x:f aca="0">F133*G133</x:f>
        <x:v>0</x:v>
      </x:c>
      <x:c r="I133" s="7" t="str">
        <x:v>Anyag</x:v>
      </x:c>
      <x:c r="J133" s="12"/>
    </x:row>
    <x:row r="134" ht="15" hidden="0">
      <x:c r="A134" s="8"/>
      <x:c r="B134" s="21" t="str">
        <x:v>ajtó stop</x:v>
      </x:c>
      <x:c r="C134" s="7" t="str">
        <x:v>fm</x:v>
      </x:c>
      <x:c r="D134" s="22" t="n">
        <x:v>5</x:v>
      </x:c>
      <x:c r="E134" s="23" t="n">
        <x:f aca="0">E131</x:f>
        <x:v>0</x:v>
      </x:c>
      <x:c r="F134" s="23" t="n">
        <x:f aca="0">D134*E134</x:f>
        <x:v>0</x:v>
      </x:c>
      <x:c r="G134" s="24" t="n">
        <x:v>0</x:v>
      </x:c>
      <x:c r="H134" s="25" t="n">
        <x:f aca="0">F134*G134</x:f>
        <x:v>0</x:v>
      </x:c>
      <x:c r="I134" s="7" t="str">
        <x:v>Anyag</x:v>
      </x:c>
      <x:c r="J134" s="12"/>
    </x:row>
    <x:row r="135" ht="15" hidden="0">
      <x:c r="A135" s="8"/>
      <x:c r="B135" s="21" t="str">
        <x:v>pántok</x:v>
      </x:c>
      <x:c r="C135" s="7" t="str">
        <x:v>db</x:v>
      </x:c>
      <x:c r="D135" s="22" t="n">
        <x:v>3</x:v>
      </x:c>
      <x:c r="E135" s="23" t="n">
        <x:f aca="0">E131</x:f>
        <x:v>0</x:v>
      </x:c>
      <x:c r="F135" s="23" t="n">
        <x:f aca="0">D135*E135</x:f>
        <x:v>0</x:v>
      </x:c>
      <x:c r="G135" s="24" t="n">
        <x:v>0</x:v>
      </x:c>
      <x:c r="H135" s="25" t="n">
        <x:f aca="0">F135*G135</x:f>
        <x:v>0</x:v>
      </x:c>
      <x:c r="I135" s="7" t="s">
        <x:v>100</x:v>
      </x:c>
      <x:c r="J135" s="12"/>
    </x:row>
    <x:row r="136" ht="15" hidden="0">
      <x:c r="A136" s="8"/>
      <x:c r="B136" s="21" t="s">
        <x:v>106</x:v>
      </x:c>
      <x:c r="C136" s="7" t="str">
        <x:v>db</x:v>
      </x:c>
      <x:c r="D136" s="22" t="n">
        <x:v>1</x:v>
      </x:c>
      <x:c r="E136" s="23" t="n">
        <x:f aca="0">E131</x:f>
        <x:v>0</x:v>
      </x:c>
      <x:c r="F136" s="23" t="n">
        <x:f aca="0">D136*E136</x:f>
        <x:v>0</x:v>
      </x:c>
      <x:c r="G136" s="24" t="n">
        <x:v>0</x:v>
      </x:c>
      <x:c r="H136" s="25" t="n">
        <x:f aca="0">F136*G136</x:f>
        <x:v>0</x:v>
      </x:c>
      <x:c r="I136" s="7" t="s">
        <x:v>100</x:v>
      </x:c>
      <x:c r="J136" s="12"/>
    </x:row>
    <x:row r="137" ht="15" hidden="0">
      <x:c r="A137" s="8"/>
      <x:c r="B137" s="21" t="str">
        <x:v>borítás / takaróléc mindkét oldalon</x:v>
      </x:c>
      <x:c r="C137" s="7" t="str">
        <x:v>fm</x:v>
      </x:c>
      <x:c r="D137" s="22" t="n">
        <x:v>5</x:v>
      </x:c>
      <x:c r="E137" s="23" t="n">
        <x:f aca="0">E131</x:f>
        <x:v>0</x:v>
      </x:c>
      <x:c r="F137" s="23" t="n">
        <x:f aca="0">D137*E137</x:f>
        <x:v>0</x:v>
      </x:c>
      <x:c r="G137" s="24" t="n">
        <x:v>0</x:v>
      </x:c>
      <x:c r="H137" s="25" t="n">
        <x:f aca="0">F137*G137</x:f>
        <x:v>0</x:v>
      </x:c>
      <x:c r="I137" s="7" t="str">
        <x:v>Anyag</x:v>
      </x:c>
      <x:c r="J137" s="12"/>
    </x:row>
    <x:row r="138" ht="15" hidden="0">
      <x:c r="A138" s="8"/>
      <x:c r="B138" s="21" t="s">
        <x:v>107</x:v>
      </x:c>
      <x:c r="C138" s="7" t="s">
        <x:v>6</x:v>
      </x:c>
      <x:c r="D138" s="22" t="n">
        <x:v>4</x:v>
      </x:c>
      <x:c r="E138" s="23" t="n">
        <x:f aca="0">E131</x:f>
        <x:v>0</x:v>
      </x:c>
      <x:c r="F138" s="23" t="n">
        <x:f aca="0">D138*E138</x:f>
        <x:v>0</x:v>
      </x:c>
      <x:c r="G138" s="24" t="n">
        <x:v>0</x:v>
      </x:c>
      <x:c r="H138" s="25" t="n">
        <x:f aca="0">F138*G138</x:f>
        <x:v>0</x:v>
      </x:c>
      <x:c r="I138" s="7" t="str">
        <x:v>Festés</x:v>
      </x:c>
      <x:c r="J138" s="12" t="str">
        <x:v>2 sides + tok / keret</x:v>
      </x:c>
    </x:row>
    <x:row r="139" ht="15" hidden="0">
      <x:c r="A139" s="8"/>
      <x:c r="B139" s="21" t="s">
        <x:v>108</x:v>
      </x:c>
      <x:c r="C139" s="7" t="str">
        <x:v>óra</x:v>
      </x:c>
      <x:c r="D139" s="22" t="n">
        <x:v>2</x:v>
      </x:c>
      <x:c r="E139" s="23" t="n">
        <x:f aca="0">E131</x:f>
        <x:v>0</x:v>
      </x:c>
      <x:c r="F139" s="23" t="n">
        <x:f aca="0">D139*E139</x:f>
        <x:v>0</x:v>
      </x:c>
      <x:c r="G139" s="24" t="n">
        <x:v>0</x:v>
      </x:c>
      <x:c r="H139" s="25" t="n">
        <x:f aca="0">F139*G139</x:f>
        <x:v>0</x:v>
      </x:c>
      <x:c r="I139" s="7" t="str">
        <x:v>Munkaerő</x:v>
      </x:c>
      <x:c r="J139" s="12"/>
    </x:row>
    <x:row r="140" ht="15" hidden="0">
      <x:c r="A140" s="8"/>
      <x:c r="B140" s="21" t="s">
        <x:v>109</x:v>
      </x:c>
      <x:c r="C140" s="7" t="str">
        <x:v>óra</x:v>
      </x:c>
      <x:c r="D140" s="22" t="n">
        <x:v>0.5</x:v>
      </x:c>
      <x:c r="E140" s="23" t="n">
        <x:f aca="0">E131</x:f>
        <x:v>0</x:v>
      </x:c>
      <x:c r="F140" s="23" t="n">
        <x:f aca="0">D140*E140</x:f>
        <x:v>0</x:v>
      </x:c>
      <x:c r="G140" s="24" t="n">
        <x:v>0</x:v>
      </x:c>
      <x:c r="H140" s="25" t="n">
        <x:f aca="0">F140*G140</x:f>
        <x:v>0</x:v>
      </x:c>
      <x:c r="I140" s="7" t="str">
        <x:v>Munkaerő</x:v>
      </x:c>
      <x:c r="J140" s="12"/>
    </x:row>
    <x:row r="141" ht="15" hidden="0">
      <x:c r="A141" s="26"/>
      <x:c r="B141" s="27" t="s">
        <x:v>110</x:v>
      </x:c>
      <x:c r="C141" s="26"/>
      <x:c r="D141" s="26"/>
      <x:c r="E141" s="26"/>
      <x:c r="F141" s="26"/>
      <x:c r="G141" s="26"/>
      <x:c r="H141" s="28" t="n">
        <x:f aca="0">SUM(H132:H140)</x:f>
        <x:v>0</x:v>
      </x:c>
      <x:c r="I141" s="26"/>
      <x:c r="J141" s="26"/>
    </x:row>
    <x:row r="143" ht="15" hidden="0">
      <x:c r="J143" s="14" t="s">
        <x:v>111</x:v>
      </x:c>
    </x:row>
    <x:row r="144" ht="15" hidden="0">
      <x:c r="A144" s="15" t="s">
        <x:v>49</x:v>
      </x:c>
      <x:c r="B144" s="16" t="str">
        <x:v>D4 - toló wood tároló / szekrény doors (L1+B1, 2 panels per opening)</x:v>
      </x:c>
      <x:c r="C144" s="15" t="str">
        <x:v>db</x:v>
      </x:c>
      <x:c r="D144" s="15" t="n">
        <x:v>1</x:v>
      </x:c>
      <x:c r="E144" s="17" t="n">
        <x:v>0</x:v>
      </x:c>
      <x:c r="F144" s="18" t="n">
        <x:f aca="0">D144*E144</x:f>
        <x:v>0</x:v>
      </x:c>
      <x:c r="G144" s="19" t="n">
        <x:v>0</x:v>
      </x:c>
      <x:c r="H144" s="20" t="n">
        <x:f aca="0">F144*G144</x:f>
        <x:v>0</x:v>
      </x:c>
    </x:row>
    <x:row r="145" ht="15" hidden="0">
      <x:c r="A145" s="8"/>
      <x:c r="B145" s="21" t="str">
        <x:v>ajtólap - laminated wood (2 panels)</x:v>
      </x:c>
      <x:c r="C145" s="7" t="str">
        <x:v>db</x:v>
      </x:c>
      <x:c r="D145" s="22" t="n">
        <x:v>2</x:v>
      </x:c>
      <x:c r="E145" s="23" t="n">
        <x:f aca="0">E144</x:f>
        <x:v>0</x:v>
      </x:c>
      <x:c r="F145" s="23" t="n">
        <x:f aca="0">D145*E145</x:f>
        <x:v>0</x:v>
      </x:c>
      <x:c r="G145" s="24" t="n">
        <x:v>0</x:v>
      </x:c>
      <x:c r="H145" s="25" t="n">
        <x:f aca="0">F145*G145</x:f>
        <x:v>0</x:v>
      </x:c>
      <x:c r="I145" s="7" t="str">
        <x:v>Anyag</x:v>
      </x:c>
      <x:c r="J145" s="12"/>
    </x:row>
    <x:row r="146" ht="15" hidden="0">
      <x:c r="A146" s="8"/>
      <x:c r="B146" s="21" t="str">
        <x:v>felső sín + alsó vezető</x:v>
      </x:c>
      <x:c r="C146" s="7" t="str">
        <x:v>fm</x:v>
      </x:c>
      <x:c r="D146" s="22" t="n">
        <x:v>1.6</x:v>
      </x:c>
      <x:c r="E146" s="23" t="n">
        <x:f aca="0">E144</x:f>
        <x:v>0</x:v>
      </x:c>
      <x:c r="F146" s="23" t="n">
        <x:f aca="0">D146*E146</x:f>
        <x:v>0</x:v>
      </x:c>
      <x:c r="G146" s="24" t="n">
        <x:v>0</x:v>
      </x:c>
      <x:c r="H146" s="25" t="n">
        <x:f aca="0">F146*G146</x:f>
        <x:v>0</x:v>
      </x:c>
      <x:c r="I146" s="7" t="str">
        <x:v>Anyag</x:v>
      </x:c>
      <x:c r="J146" s="12" t="str">
        <x:v>szélesség of opening</x:v>
      </x:c>
    </x:row>
    <x:row r="147" ht="15" hidden="0">
      <x:c r="A147" s="8"/>
      <x:c r="B147" s="21" t="str">
        <x:v>görgők + glides</x:v>
      </x:c>
      <x:c r="C147" s="7" t="str">
        <x:v>klt.</x:v>
      </x:c>
      <x:c r="D147" s="22" t="n">
        <x:v>2</x:v>
      </x:c>
      <x:c r="E147" s="23" t="n">
        <x:f aca="0">E144</x:f>
        <x:v>0</x:v>
      </x:c>
      <x:c r="F147" s="23" t="n">
        <x:f aca="0">D147*E147</x:f>
        <x:v>0</x:v>
      </x:c>
      <x:c r="G147" s="24" t="n">
        <x:v>0</x:v>
      </x:c>
      <x:c r="H147" s="25" t="n">
        <x:f aca="0">F147*G147</x:f>
        <x:v>0</x:v>
      </x:c>
      <x:c r="I147" s="7" t="s">
        <x:v>100</x:v>
      </x:c>
      <x:c r="J147" s="12" t="s">
        <x:v>112</x:v>
      </x:c>
    </x:row>
    <x:row r="148" ht="15" hidden="0">
      <x:c r="A148" s="8"/>
      <x:c r="B148" s="21" t="s">
        <x:v>113</x:v>
      </x:c>
      <x:c r="C148" s="7" t="str">
        <x:v>db</x:v>
      </x:c>
      <x:c r="D148" s="22" t="n">
        <x:v>2</x:v>
      </x:c>
      <x:c r="E148" s="23" t="n">
        <x:f aca="0">E144</x:f>
        <x:v>0</x:v>
      </x:c>
      <x:c r="F148" s="23" t="n">
        <x:f aca="0">D148*E148</x:f>
        <x:v>0</x:v>
      </x:c>
      <x:c r="G148" s="24" t="n">
        <x:v>0</x:v>
      </x:c>
      <x:c r="H148" s="25" t="n">
        <x:f aca="0">F148*G148</x:f>
        <x:v>0</x:v>
      </x:c>
      <x:c r="I148" s="7" t="s">
        <x:v>100</x:v>
      </x:c>
      <x:c r="J148" s="12"/>
    </x:row>
    <x:row r="149" ht="15" hidden="0">
      <x:c r="A149" s="8"/>
      <x:c r="B149" s="21" t="s">
        <x:v>114</x:v>
      </x:c>
      <x:c r="C149" s="7" t="str">
        <x:v>db</x:v>
      </x:c>
      <x:c r="D149" s="22" t="n">
        <x:v>2</x:v>
      </x:c>
      <x:c r="E149" s="23" t="n">
        <x:f aca="0">E144</x:f>
        <x:v>0</x:v>
      </x:c>
      <x:c r="F149" s="23" t="n">
        <x:f aca="0">D149*E149</x:f>
        <x:v>0</x:v>
      </x:c>
      <x:c r="G149" s="24" t="n">
        <x:v>0</x:v>
      </x:c>
      <x:c r="H149" s="25" t="n">
        <x:f aca="0">F149*G149</x:f>
        <x:v>0</x:v>
      </x:c>
      <x:c r="I149" s="7" t="s">
        <x:v>100</x:v>
      </x:c>
      <x:c r="J149" s="12" t="s">
        <x:v>115</x:v>
      </x:c>
    </x:row>
    <x:row r="150" ht="15" hidden="0">
      <x:c r="A150" s="8"/>
      <x:c r="B150" s="21" t="str">
        <x:v>borítás / takaróléc (3 sides only - top + 2 függőleges)</x:v>
      </x:c>
      <x:c r="C150" s="7" t="str">
        <x:v>fm</x:v>
      </x:c>
      <x:c r="D150" s="22" t="n">
        <x:v>5.8</x:v>
      </x:c>
      <x:c r="E150" s="23" t="n">
        <x:f aca="0">E144</x:f>
        <x:v>0</x:v>
      </x:c>
      <x:c r="F150" s="23" t="n">
        <x:f aca="0">D150*E150</x:f>
        <x:v>0</x:v>
      </x:c>
      <x:c r="G150" s="24" t="n">
        <x:v>0</x:v>
      </x:c>
      <x:c r="H150" s="25" t="n">
        <x:f aca="0">F150*G150</x:f>
        <x:v>0</x:v>
      </x:c>
      <x:c r="I150" s="7" t="str">
        <x:v>Anyag</x:v>
      </x:c>
      <x:c r="J150" s="12"/>
    </x:row>
    <x:row r="151" ht="15" hidden="0">
      <x:c r="A151" s="8"/>
      <x:c r="B151" s="21" t="s">
        <x:v>116</x:v>
      </x:c>
      <x:c r="C151" s="7" t="s">
        <x:v>6</x:v>
      </x:c>
      <x:c r="D151" s="22" t="n">
        <x:v>6</x:v>
      </x:c>
      <x:c r="E151" s="23" t="n">
        <x:f aca="0">E144</x:f>
        <x:v>0</x:v>
      </x:c>
      <x:c r="F151" s="23" t="n">
        <x:f aca="0">D151*E151</x:f>
        <x:v>0</x:v>
      </x:c>
      <x:c r="G151" s="24" t="n">
        <x:v>0</x:v>
      </x:c>
      <x:c r="H151" s="25" t="n">
        <x:f aca="0">F151*G151</x:f>
        <x:v>0</x:v>
      </x:c>
      <x:c r="I151" s="7" t="str">
        <x:v>Festés</x:v>
      </x:c>
      <x:c r="J151" s="12" t="s">
        <x:v>117</x:v>
      </x:c>
    </x:row>
    <x:row r="152" ht="15" hidden="0">
      <x:c r="A152" s="8"/>
      <x:c r="B152" s="21" t="s">
        <x:v>108</x:v>
      </x:c>
      <x:c r="C152" s="7" t="str">
        <x:v>óra</x:v>
      </x:c>
      <x:c r="D152" s="22" t="n">
        <x:v>3</x:v>
      </x:c>
      <x:c r="E152" s="23" t="n">
        <x:f aca="0">E144</x:f>
        <x:v>0</x:v>
      </x:c>
      <x:c r="F152" s="23" t="n">
        <x:f aca="0">D152*E152</x:f>
        <x:v>0</x:v>
      </x:c>
      <x:c r="G152" s="24" t="n">
        <x:v>0</x:v>
      </x:c>
      <x:c r="H152" s="25" t="n">
        <x:f aca="0">F152*G152</x:f>
        <x:v>0</x:v>
      </x:c>
      <x:c r="I152" s="7" t="str">
        <x:v>Munkaerő</x:v>
      </x:c>
      <x:c r="J152" s="12"/>
    </x:row>
    <x:row r="153" ht="15" hidden="0">
      <x:c r="A153" s="8"/>
      <x:c r="B153" s="21" t="s">
        <x:v>109</x:v>
      </x:c>
      <x:c r="C153" s="7" t="str">
        <x:v>óra</x:v>
      </x:c>
      <x:c r="D153" s="22" t="n">
        <x:v>0.5</x:v>
      </x:c>
      <x:c r="E153" s="23" t="n">
        <x:f aca="0">E144</x:f>
        <x:v>0</x:v>
      </x:c>
      <x:c r="F153" s="23" t="n">
        <x:f aca="0">D153*E153</x:f>
        <x:v>0</x:v>
      </x:c>
      <x:c r="G153" s="24" t="n">
        <x:v>0</x:v>
      </x:c>
      <x:c r="H153" s="25" t="n">
        <x:f aca="0">F153*G153</x:f>
        <x:v>0</x:v>
      </x:c>
      <x:c r="I153" s="7" t="str">
        <x:v>Munkaerő</x:v>
      </x:c>
      <x:c r="J153" s="12"/>
    </x:row>
    <x:row r="154" ht="15" hidden="0">
      <x:c r="A154" s="26"/>
      <x:c r="B154" s="27" t="s">
        <x:v>118</x:v>
      </x:c>
      <x:c r="C154" s="26"/>
      <x:c r="D154" s="26"/>
      <x:c r="E154" s="26"/>
      <x:c r="F154" s="26"/>
      <x:c r="G154" s="26"/>
      <x:c r="H154" s="28" t="n">
        <x:f aca="0">SUM(H145:H153)</x:f>
        <x:v>0</x:v>
      </x:c>
      <x:c r="I154" s="26"/>
      <x:c r="J154" s="26"/>
    </x:row>
    <x:row r="156" ht="15" hidden="0">
      <x:c r="J156" s="14" t="s">
        <x:v>119</x:v>
      </x:c>
    </x:row>
    <x:row r="157" ht="15" hidden="0">
      <x:c r="A157" s="15" t="s">
        <x:v>49</x:v>
      </x:c>
      <x:c r="B157" s="16" t="str">
        <x:v>M1 - Metal redőnykapu (motoros garázs ajtó, ~3000mm széles)</x:v>
      </x:c>
      <x:c r="C157" s="15" t="str">
        <x:v>db</x:v>
      </x:c>
      <x:c r="D157" s="15" t="n">
        <x:v>1</x:v>
      </x:c>
      <x:c r="E157" s="17" t="n">
        <x:v>0</x:v>
      </x:c>
      <x:c r="F157" s="18" t="n">
        <x:f aca="0">D157*E157</x:f>
        <x:v>0</x:v>
      </x:c>
      <x:c r="G157" s="19" t="n">
        <x:v>0</x:v>
      </x:c>
      <x:c r="H157" s="20" t="n">
        <x:f aca="0">F157*G157</x:f>
        <x:v>0</x:v>
      </x:c>
    </x:row>
    <x:row r="158" ht="15" hidden="0">
      <x:c r="A158" s="8"/>
      <x:c r="B158" s="21" t="str">
        <x:v>acél rolling redőny / kapulap (curtain + barrel)</x:v>
      </x:c>
      <x:c r="C158" s="7" t="str">
        <x:v>db</x:v>
      </x:c>
      <x:c r="D158" s="22" t="n">
        <x:v>1</x:v>
      </x:c>
      <x:c r="E158" s="23" t="n">
        <x:f aca="0">E157</x:f>
        <x:v>0</x:v>
      </x:c>
      <x:c r="F158" s="23" t="n">
        <x:f aca="0">D158*E158</x:f>
        <x:v>0</x:v>
      </x:c>
      <x:c r="G158" s="24" t="n">
        <x:v>0</x:v>
      </x:c>
      <x:c r="H158" s="25" t="n">
        <x:f aca="0">F158*G158</x:f>
        <x:v>0</x:v>
      </x:c>
      <x:c r="I158" s="7" t="str">
        <x:v>Anyag</x:v>
      </x:c>
      <x:c r="J158" s="12" t="str">
        <x:v>Galv acél slats</x:v>
      </x:c>
    </x:row>
    <x:row r="159" ht="15" hidden="0">
      <x:c r="A159" s="8"/>
      <x:c r="B159" s="21" t="s">
        <x:v>120</x:v>
      </x:c>
      <x:c r="C159" s="7" t="str">
        <x:v>fm</x:v>
      </x:c>
      <x:c r="D159" s="22" t="n">
        <x:v>5</x:v>
      </x:c>
      <x:c r="E159" s="23" t="n">
        <x:f aca="0">E157</x:f>
        <x:v>0</x:v>
      </x:c>
      <x:c r="F159" s="23" t="n">
        <x:f aca="0">D159*E159</x:f>
        <x:v>0</x:v>
      </x:c>
      <x:c r="G159" s="24" t="n">
        <x:v>0</x:v>
      </x:c>
      <x:c r="H159" s="25" t="n">
        <x:f aca="0">F159*G159</x:f>
        <x:v>0</x:v>
      </x:c>
      <x:c r="I159" s="7" t="str">
        <x:v>Anyag</x:v>
      </x:c>
      <x:c r="J159" s="12" t="str">
        <x:v>2 × full magasság</x:v>
      </x:c>
    </x:row>
    <x:row r="160" ht="15" hidden="0">
      <x:c r="A160" s="8"/>
      <x:c r="B160" s="21" t="str">
        <x:v>Bottom rail weather seal</x:v>
      </x:c>
      <x:c r="C160" s="7" t="str">
        <x:v>fm</x:v>
      </x:c>
      <x:c r="D160" s="22" t="n">
        <x:v>3</x:v>
      </x:c>
      <x:c r="E160" s="23" t="n">
        <x:f aca="0">E157</x:f>
        <x:v>0</x:v>
      </x:c>
      <x:c r="F160" s="23" t="n">
        <x:f aca="0">D160*E160</x:f>
        <x:v>0</x:v>
      </x:c>
      <x:c r="G160" s="24" t="n">
        <x:v>0</x:v>
      </x:c>
      <x:c r="H160" s="25" t="n">
        <x:f aca="0">F160*G160</x:f>
        <x:v>0</x:v>
      </x:c>
      <x:c r="I160" s="7" t="str">
        <x:v>Anyag</x:v>
      </x:c>
      <x:c r="J160" s="12"/>
    </x:row>
    <x:row r="161" ht="15" hidden="0">
      <x:c r="A161" s="8"/>
      <x:c r="B161" s="21" t="str">
        <x:v>Motor + drive (elektromos)</x:v>
      </x:c>
      <x:c r="C161" s="7" t="str">
        <x:v>db</x:v>
      </x:c>
      <x:c r="D161" s="22" t="n">
        <x:v>1</x:v>
      </x:c>
      <x:c r="E161" s="23" t="n">
        <x:f aca="0">E157</x:f>
        <x:v>0</x:v>
      </x:c>
      <x:c r="F161" s="23" t="n">
        <x:f aca="0">D161*E161</x:f>
        <x:v>0</x:v>
      </x:c>
      <x:c r="G161" s="24" t="n">
        <x:v>0</x:v>
      </x:c>
      <x:c r="H161" s="25" t="n">
        <x:f aca="0">F161*G161</x:f>
        <x:v>0</x:v>
      </x:c>
      <x:c r="I161" s="7" t="s">
        <x:v>100</x:v>
      </x:c>
      <x:c r="J161" s="12" t="str">
        <x:v>tubus motor or chain drive</x:v>
      </x:c>
    </x:row>
    <x:row r="162" ht="15" hidden="0">
      <x:c r="A162" s="8"/>
      <x:c r="B162" s="21" t="s">
        <x:v>121</x:v>
      </x:c>
      <x:c r="C162" s="7" t="str">
        <x:v>db</x:v>
      </x:c>
      <x:c r="D162" s="22" t="n">
        <x:v>1</x:v>
      </x:c>
      <x:c r="E162" s="23" t="n">
        <x:f aca="0">E157</x:f>
        <x:v>0</x:v>
      </x:c>
      <x:c r="F162" s="23" t="n">
        <x:f aca="0">D162*E162</x:f>
        <x:v>0</x:v>
      </x:c>
      <x:c r="G162" s="24" t="n">
        <x:v>0</x:v>
      </x:c>
      <x:c r="H162" s="25" t="n">
        <x:f aca="0">F162*G162</x:f>
        <x:v>0</x:v>
      </x:c>
      <x:c r="I162" s="7" t="s">
        <x:v>100</x:v>
      </x:c>
      <x:c r="J162" s="12"/>
    </x:row>
    <x:row r="163" ht="15" hidden="0">
      <x:c r="A163" s="8"/>
      <x:c r="B163" s="21" t="str">
        <x:v>Remote vezérlés (2 db)</x:v>
      </x:c>
      <x:c r="C163" s="7" t="str">
        <x:v>db</x:v>
      </x:c>
      <x:c r="D163" s="22" t="n">
        <x:v>2</x:v>
      </x:c>
      <x:c r="E163" s="23" t="n">
        <x:f aca="0">E157</x:f>
        <x:v>0</x:v>
      </x:c>
      <x:c r="F163" s="23" t="n">
        <x:f aca="0">D163*E163</x:f>
        <x:v>0</x:v>
      </x:c>
      <x:c r="G163" s="24" t="n">
        <x:v>0</x:v>
      </x:c>
      <x:c r="H163" s="25" t="n">
        <x:f aca="0">F163*G163</x:f>
        <x:v>0</x:v>
      </x:c>
      <x:c r="I163" s="7" t="s">
        <x:v>100</x:v>
      </x:c>
      <x:c r="J163" s="12"/>
    </x:row>
    <x:row r="164" ht="15" hidden="0">
      <x:c r="A164" s="8"/>
      <x:c r="B164" s="21" t="s">
        <x:v>122</x:v>
      </x:c>
      <x:c r="C164" s="7" t="str">
        <x:v>db</x:v>
      </x:c>
      <x:c r="D164" s="22" t="n">
        <x:v>1</x:v>
      </x:c>
      <x:c r="E164" s="23" t="n">
        <x:f aca="0">E157</x:f>
        <x:v>0</x:v>
      </x:c>
      <x:c r="F164" s="23" t="n">
        <x:f aca="0">D164*E164</x:f>
        <x:v>0</x:v>
      </x:c>
      <x:c r="G164" s="24" t="n">
        <x:v>0</x:v>
      </x:c>
      <x:c r="H164" s="25" t="n">
        <x:f aca="0">F164*G164</x:f>
        <x:v>0</x:v>
      </x:c>
      <x:c r="I164" s="7" t="s">
        <x:v>100</x:v>
      </x:c>
      <x:c r="J164" s="12"/>
    </x:row>
    <x:row r="165" ht="15" hidden="0">
      <x:c r="A165" s="8"/>
      <x:c r="B165" s="21" t="s">
        <x:v>123</x:v>
      </x:c>
      <x:c r="C165" s="7" t="str">
        <x:v>db</x:v>
      </x:c>
      <x:c r="D165" s="22" t="n">
        <x:v>1</x:v>
      </x:c>
      <x:c r="E165" s="23" t="n">
        <x:f aca="0">E157</x:f>
        <x:v>0</x:v>
      </x:c>
      <x:c r="F165" s="23" t="n">
        <x:f aca="0">D165*E165</x:f>
        <x:v>0</x:v>
      </x:c>
      <x:c r="G165" s="24" t="n">
        <x:v>0</x:v>
      </x:c>
      <x:c r="H165" s="25" t="n">
        <x:f aca="0">F165*G165</x:f>
        <x:v>0</x:v>
      </x:c>
      <x:c r="I165" s="7" t="s">
        <x:v>100</x:v>
      </x:c>
      <x:c r="J165" s="12" t="s">
        <x:v>124</x:v>
      </x:c>
    </x:row>
    <x:row r="166" ht="15" hidden="0">
      <x:c r="A166" s="8"/>
      <x:c r="B166" s="21" t="s">
        <x:v>125</x:v>
      </x:c>
      <x:c r="C166" s="7" t="str">
        <x:v>db</x:v>
      </x:c>
      <x:c r="D166" s="22" t="n">
        <x:v>1</x:v>
      </x:c>
      <x:c r="E166" s="23" t="n">
        <x:f aca="0">E157</x:f>
        <x:v>0</x:v>
      </x:c>
      <x:c r="F166" s="23" t="n">
        <x:f aca="0">D166*E166</x:f>
        <x:v>0</x:v>
      </x:c>
      <x:c r="G166" s="24" t="n">
        <x:v>0</x:v>
      </x:c>
      <x:c r="H166" s="25" t="n">
        <x:f aca="0">F166*G166</x:f>
        <x:v>0</x:v>
      </x:c>
      <x:c r="I166" s="7" t="s">
        <x:v>100</x:v>
      </x:c>
      <x:c r="J166" s="12"/>
    </x:row>
    <x:row r="167" ht="15" hidden="0">
      <x:c r="A167" s="8"/>
      <x:c r="B167" s="21" t="str">
        <x:v>korróziógátló festék coating</x:v>
      </x:c>
      <x:c r="C167" s="7" t="s">
        <x:v>6</x:v>
      </x:c>
      <x:c r="D167" s="22" t="n">
        <x:v>8</x:v>
      </x:c>
      <x:c r="E167" s="23" t="n">
        <x:f aca="0">E157</x:f>
        <x:v>0</x:v>
      </x:c>
      <x:c r="F167" s="23" t="n">
        <x:f aca="0">D167*E167</x:f>
        <x:v>0</x:v>
      </x:c>
      <x:c r="G167" s="24" t="n">
        <x:v>0</x:v>
      </x:c>
      <x:c r="H167" s="25" t="n">
        <x:f aca="0">F167*G167</x:f>
        <x:v>0</x:v>
      </x:c>
      <x:c r="I167" s="7" t="str">
        <x:v>Festés</x:v>
      </x:c>
      <x:c r="J167" s="12" t="s">
        <x:v>53</x:v>
      </x:c>
    </x:row>
    <x:row r="168" ht="15" hidden="0">
      <x:c r="A168" s="8"/>
      <x:c r="B168" s="21" t="s">
        <x:v>126</x:v>
      </x:c>
      <x:c r="C168" s="7" t="str">
        <x:v>óra</x:v>
      </x:c>
      <x:c r="D168" s="22" t="n">
        <x:v>8</x:v>
      </x:c>
      <x:c r="E168" s="23" t="n">
        <x:f aca="0">E157</x:f>
        <x:v>0</x:v>
      </x:c>
      <x:c r="F168" s="23" t="n">
        <x:f aca="0">D168*E168</x:f>
        <x:v>0</x:v>
      </x:c>
      <x:c r="G168" s="24" t="n">
        <x:v>0</x:v>
      </x:c>
      <x:c r="H168" s="25" t="n">
        <x:f aca="0">F168*G168</x:f>
        <x:v>0</x:v>
      </x:c>
      <x:c r="I168" s="7" t="str">
        <x:v>Munkaerő</x:v>
      </x:c>
      <x:c r="J168" s="12" t="s">
        <x:v>127</x:v>
      </x:c>
    </x:row>
    <x:row r="169" ht="15" hidden="0">
      <x:c r="A169" s="8"/>
      <x:c r="B169" s="21" t="str">
        <x:v>Labour - electrical lezárás</x:v>
      </x:c>
      <x:c r="C169" s="7" t="str">
        <x:v>óra</x:v>
      </x:c>
      <x:c r="D169" s="22" t="n">
        <x:v>2</x:v>
      </x:c>
      <x:c r="E169" s="23" t="n">
        <x:f aca="0">E157</x:f>
        <x:v>0</x:v>
      </x:c>
      <x:c r="F169" s="23" t="n">
        <x:f aca="0">D169*E169</x:f>
        <x:v>0</x:v>
      </x:c>
      <x:c r="G169" s="24" t="n">
        <x:v>0</x:v>
      </x:c>
      <x:c r="H169" s="25" t="n">
        <x:f aca="0">F169*G169</x:f>
        <x:v>0</x:v>
      </x:c>
      <x:c r="I169" s="7" t="str">
        <x:v>Munkaerő</x:v>
      </x:c>
      <x:c r="J169" s="12" t="str">
        <x:v>csatlakoztatás - power befúvás</x:v>
      </x:c>
    </x:row>
    <x:row r="170" ht="15" hidden="0">
      <x:c r="A170" s="8"/>
      <x:c r="B170" s="21" t="s">
        <x:v>128</x:v>
      </x:c>
      <x:c r="C170" s="7" t="str">
        <x:v>óra</x:v>
      </x:c>
      <x:c r="D170" s="22" t="n">
        <x:v>2</x:v>
      </x:c>
      <x:c r="E170" s="23" t="n">
        <x:f aca="0">E157</x:f>
        <x:v>0</x:v>
      </x:c>
      <x:c r="F170" s="23" t="n">
        <x:f aca="0">D170*E170</x:f>
        <x:v>0</x:v>
      </x:c>
      <x:c r="G170" s="24" t="n">
        <x:v>0</x:v>
      </x:c>
      <x:c r="H170" s="25" t="n">
        <x:f aca="0">F170*G170</x:f>
        <x:v>0</x:v>
      </x:c>
      <x:c r="I170" s="7" t="str">
        <x:v>Munkaerő</x:v>
      </x:c>
      <x:c r="J170" s="12"/>
    </x:row>
    <x:row r="171" ht="15" hidden="0">
      <x:c r="A171" s="26"/>
      <x:c r="B171" s="27" t="s">
        <x:v>129</x:v>
      </x:c>
      <x:c r="C171" s="26"/>
      <x:c r="D171" s="26"/>
      <x:c r="E171" s="26"/>
      <x:c r="F171" s="26"/>
      <x:c r="G171" s="26"/>
      <x:c r="H171" s="28" t="n">
        <x:f aca="0">SUM(H158:H170)</x:f>
        <x:v>0</x:v>
      </x:c>
      <x:c r="I171" s="26"/>
      <x:c r="J171" s="26"/>
    </x:row>
    <x:row r="173" ht="15" hidden="0">
      <x:c r="J173" s="14" t="s">
        <x:v>130</x:v>
      </x:c>
    </x:row>
    <x:row r="174" ht="15" hidden="0">
      <x:c r="A174" s="15" t="s">
        <x:v>49</x:v>
      </x:c>
      <x:c r="B174" s="16" t="str">
        <x:v>W1 - Aluminium tok / keret, toló glass ablak (G1 - 4mm), 1500×1328</x:v>
      </x:c>
      <x:c r="C174" s="15" t="str">
        <x:v>db</x:v>
      </x:c>
      <x:c r="D174" s="15" t="n">
        <x:v>1</x:v>
      </x:c>
      <x:c r="E174" s="17" t="n">
        <x:v>0</x:v>
      </x:c>
      <x:c r="F174" s="18" t="n">
        <x:f aca="0">D174*E174</x:f>
        <x:v>0</x:v>
      </x:c>
      <x:c r="G174" s="19" t="n">
        <x:v>0</x:v>
      </x:c>
      <x:c r="H174" s="20" t="n">
        <x:f aca="0">F174*G174</x:f>
        <x:v>0</x:v>
      </x:c>
    </x:row>
    <x:row r="175" ht="15" hidden="0">
      <x:c r="A175" s="8"/>
      <x:c r="B175" s="21" t="str">
        <x:v>Aluminium tok / keret anodised - factory assembled</x:v>
      </x:c>
      <x:c r="C175" s="7" t="str">
        <x:v>db</x:v>
      </x:c>
      <x:c r="D175" s="22" t="n">
        <x:v>1</x:v>
      </x:c>
      <x:c r="E175" s="23" t="n">
        <x:f aca="0">E174</x:f>
        <x:v>0</x:v>
      </x:c>
      <x:c r="F175" s="23" t="n">
        <x:f aca="0">D175*E175</x:f>
        <x:v>0</x:v>
      </x:c>
      <x:c r="G175" s="24" t="n">
        <x:v>0</x:v>
      </x:c>
      <x:c r="H175" s="25" t="n">
        <x:f aca="0">F175*G175</x:f>
        <x:v>0</x:v>
      </x:c>
      <x:c r="I175" s="7" t="str">
        <x:v>Anyag</x:v>
      </x:c>
      <x:c r="J175" s="12" t="str">
        <x:v>toló szárny unit</x:v>
      </x:c>
    </x:row>
    <x:row r="176" ht="15" hidden="0">
      <x:c r="A176" s="8"/>
      <x:c r="B176" s="21" t="s">
        <x:v>131</x:v>
      </x:c>
      <x:c r="C176" s="7" t="s">
        <x:v>6</x:v>
      </x:c>
      <x:c r="D176" s="22" t="n">
        <x:v>2</x:v>
      </x:c>
      <x:c r="E176" s="23" t="n">
        <x:f aca="0">E174</x:f>
        <x:v>0</x:v>
      </x:c>
      <x:c r="F176" s="23" t="n">
        <x:f aca="0">D176*E176</x:f>
        <x:v>0</x:v>
      </x:c>
      <x:c r="G176" s="24" t="n">
        <x:v>0</x:v>
      </x:c>
      <x:c r="H176" s="25" t="n">
        <x:f aca="0">F176*G176</x:f>
        <x:v>0</x:v>
      </x:c>
      <x:c r="I176" s="7" t="str">
        <x:v>Anyag</x:v>
      </x:c>
      <x:c r="J176" s="12" t="s">
        <x:v>132</x:v>
      </x:c>
    </x:row>
    <x:row r="177" ht="15" hidden="0">
      <x:c r="A177" s="8"/>
      <x:c r="B177" s="21" t="s">
        <x:v>133</x:v>
      </x:c>
      <x:c r="C177" s="7" t="str">
        <x:v>fm</x:v>
      </x:c>
      <x:c r="D177" s="22" t="n">
        <x:v>8</x:v>
      </x:c>
      <x:c r="E177" s="23" t="n">
        <x:f aca="0">E174</x:f>
        <x:v>0</x:v>
      </x:c>
      <x:c r="F177" s="23" t="n">
        <x:f aca="0">D177*E177</x:f>
        <x:v>0</x:v>
      </x:c>
      <x:c r="G177" s="24" t="n">
        <x:v>0</x:v>
      </x:c>
      <x:c r="H177" s="25" t="n">
        <x:f aca="0">F177*G177</x:f>
        <x:v>0</x:v>
      </x:c>
      <x:c r="I177" s="7" t="str">
        <x:v>Anyag</x:v>
      </x:c>
      <x:c r="J177" s="12" t="s">
        <x:v>134</x:v>
      </x:c>
    </x:row>
    <x:row r="178" ht="15" hidden="0">
      <x:c r="A178" s="8"/>
      <x:c r="B178" s="21" t="str">
        <x:v>toló tracks + görgők</x:v>
      </x:c>
      <x:c r="C178" s="7" t="str">
        <x:v>db</x:v>
      </x:c>
      <x:c r="D178" s="22" t="n">
        <x:v>1</x:v>
      </x:c>
      <x:c r="E178" s="23" t="n">
        <x:f aca="0">E174</x:f>
        <x:v>0</x:v>
      </x:c>
      <x:c r="F178" s="23" t="n">
        <x:f aca="0">D178*E178</x:f>
        <x:v>0</x:v>
      </x:c>
      <x:c r="G178" s="24" t="n">
        <x:v>0</x:v>
      </x:c>
      <x:c r="H178" s="25" t="n">
        <x:f aca="0">F178*G178</x:f>
        <x:v>0</x:v>
      </x:c>
      <x:c r="I178" s="7" t="s">
        <x:v>100</x:v>
      </x:c>
      <x:c r="J178" s="12" t="str">
        <x:v>Built into tok / keret</x:v>
      </x:c>
    </x:row>
    <x:row r="179" ht="15" hidden="0">
      <x:c r="A179" s="8"/>
      <x:c r="B179" s="21" t="s">
        <x:v>135</x:v>
      </x:c>
      <x:c r="C179" s="7" t="str">
        <x:v>db</x:v>
      </x:c>
      <x:c r="D179" s="22" t="n">
        <x:v>1</x:v>
      </x:c>
      <x:c r="E179" s="23" t="n">
        <x:f aca="0">E174</x:f>
        <x:v>0</x:v>
      </x:c>
      <x:c r="F179" s="23" t="n">
        <x:f aca="0">D179*E179</x:f>
        <x:v>0</x:v>
      </x:c>
      <x:c r="G179" s="24" t="n">
        <x:v>0</x:v>
      </x:c>
      <x:c r="H179" s="25" t="n">
        <x:f aca="0">F179*G179</x:f>
        <x:v>0</x:v>
      </x:c>
      <x:c r="I179" s="7" t="s">
        <x:v>100</x:v>
      </x:c>
      <x:c r="J179" s="12"/>
    </x:row>
    <x:row r="180" ht="15" hidden="0">
      <x:c r="A180" s="8"/>
      <x:c r="B180" s="21" t="str">
        <x:v>tömítőanyag - external (szilikon)</x:v>
      </x:c>
      <x:c r="C180" s="7" t="str">
        <x:v>fm</x:v>
      </x:c>
      <x:c r="D180" s="22" t="n">
        <x:v>5.7</x:v>
      </x:c>
      <x:c r="E180" s="23" t="n">
        <x:f aca="0">E174</x:f>
        <x:v>0</x:v>
      </x:c>
      <x:c r="F180" s="23" t="n">
        <x:f aca="0">D180*E180</x:f>
        <x:v>0</x:v>
      </x:c>
      <x:c r="G180" s="24" t="n">
        <x:v>0</x:v>
      </x:c>
      <x:c r="H180" s="25" t="n">
        <x:f aca="0">F180*G180</x:f>
        <x:v>0</x:v>
      </x:c>
      <x:c r="I180" s="7" t="str">
        <x:v>Anyag</x:v>
      </x:c>
      <x:c r="J180" s="12" t="str">
        <x:v>tok / keret perimeter externally</x:v>
      </x:c>
    </x:row>
    <x:row r="181" ht="15" hidden="0">
      <x:c r="A181" s="8"/>
      <x:c r="B181" s="21" t="str">
        <x:v>Internal kávafal + borítás / takaróléc</x:v>
      </x:c>
      <x:c r="C181" s="7" t="str">
        <x:v>fm</x:v>
      </x:c>
      <x:c r="D181" s="22" t="n">
        <x:v>5.7</x:v>
      </x:c>
      <x:c r="E181" s="23" t="n">
        <x:f aca="0">E174</x:f>
        <x:v>0</x:v>
      </x:c>
      <x:c r="F181" s="23" t="n">
        <x:f aca="0">D181*E181</x:f>
        <x:v>0</x:v>
      </x:c>
      <x:c r="G181" s="24" t="n">
        <x:v>0</x:v>
      </x:c>
      <x:c r="H181" s="25" t="n">
        <x:f aca="0">F181*G181</x:f>
        <x:v>0</x:v>
      </x:c>
      <x:c r="I181" s="7" t="str">
        <x:v>Anyag</x:v>
      </x:c>
      <x:c r="J181" s="12"/>
    </x:row>
    <x:row r="182" ht="15" hidden="0">
      <x:c r="A182" s="8"/>
      <x:c r="B182" s="21" t="str">
        <x:v>External bádogos szegély</x:v>
      </x:c>
      <x:c r="C182" s="7" t="str">
        <x:v>fm</x:v>
      </x:c>
      <x:c r="D182" s="22" t="n">
        <x:v>5.7</x:v>
      </x:c>
      <x:c r="E182" s="23" t="n">
        <x:f aca="0">E174</x:f>
        <x:v>0</x:v>
      </x:c>
      <x:c r="F182" s="23" t="n">
        <x:f aca="0">D182*E182</x:f>
        <x:v>0</x:v>
      </x:c>
      <x:c r="G182" s="24" t="n">
        <x:v>0</x:v>
      </x:c>
      <x:c r="H182" s="25" t="n">
        <x:f aca="0">F182*G182</x:f>
        <x:v>0</x:v>
      </x:c>
      <x:c r="I182" s="7" t="str">
        <x:v>Anyag</x:v>
      </x:c>
      <x:c r="J182" s="12" t="str">
        <x:v>Head + párkány flashings</x:v>
      </x:c>
    </x:row>
    <x:row r="183" ht="15" hidden="0">
      <x:c r="A183" s="8"/>
      <x:c r="B183" s="21" t="str">
        <x:v>ablak párkány (internal)</x:v>
      </x:c>
      <x:c r="C183" s="7" t="str">
        <x:v>fm</x:v>
      </x:c>
      <x:c r="D183" s="22" t="n">
        <x:v>1.5</x:v>
      </x:c>
      <x:c r="E183" s="23" t="n">
        <x:f aca="0">E174</x:f>
        <x:v>0</x:v>
      </x:c>
      <x:c r="F183" s="23" t="n">
        <x:f aca="0">D183*E183</x:f>
        <x:v>0</x:v>
      </x:c>
      <x:c r="G183" s="24" t="n">
        <x:v>0</x:v>
      </x:c>
      <x:c r="H183" s="25" t="n">
        <x:f aca="0">F183*G183</x:f>
        <x:v>0</x:v>
      </x:c>
      <x:c r="I183" s="7" t="str">
        <x:v>Anyag</x:v>
      </x:c>
      <x:c r="J183" s="12"/>
    </x:row>
    <x:row r="184" ht="15" hidden="0">
      <x:c r="A184" s="8"/>
      <x:c r="B184" s="21" t="str">
        <x:v>Labour - ablak installer</x:v>
      </x:c>
      <x:c r="C184" s="7" t="str">
        <x:v>óra</x:v>
      </x:c>
      <x:c r="D184" s="22" t="n">
        <x:v>2</x:v>
      </x:c>
      <x:c r="E184" s="23" t="n">
        <x:f aca="0">E174</x:f>
        <x:v>0</x:v>
      </x:c>
      <x:c r="F184" s="23" t="n">
        <x:f aca="0">D184*E184</x:f>
        <x:v>0</x:v>
      </x:c>
      <x:c r="G184" s="24" t="n">
        <x:v>0</x:v>
      </x:c>
      <x:c r="H184" s="25" t="n">
        <x:f aca="0">F184*G184</x:f>
        <x:v>0</x:v>
      </x:c>
      <x:c r="I184" s="7" t="str">
        <x:v>Munkaerő</x:v>
      </x:c>
      <x:c r="J184" s="12"/>
    </x:row>
    <x:row r="185" ht="15" hidden="0">
      <x:c r="A185" s="8"/>
      <x:c r="B185" s="21" t="str">
        <x:v>Labour - flashings + tömítőanyag</x:v>
      </x:c>
      <x:c r="C185" s="7" t="str">
        <x:v>óra</x:v>
      </x:c>
      <x:c r="D185" s="22" t="n">
        <x:v>0.5</x:v>
      </x:c>
      <x:c r="E185" s="23" t="n">
        <x:f aca="0">E174</x:f>
        <x:v>0</x:v>
      </x:c>
      <x:c r="F185" s="23" t="n">
        <x:f aca="0">D185*E185</x:f>
        <x:v>0</x:v>
      </x:c>
      <x:c r="G185" s="24" t="n">
        <x:v>0</x:v>
      </x:c>
      <x:c r="H185" s="25" t="n">
        <x:f aca="0">F185*G185</x:f>
        <x:v>0</x:v>
      </x:c>
      <x:c r="I185" s="7" t="str">
        <x:v>Munkaerő</x:v>
      </x:c>
      <x:c r="J185" s="12"/>
    </x:row>
    <x:row r="186" ht="15" hidden="0">
      <x:c r="A186" s="26"/>
      <x:c r="B186" s="27" t="s">
        <x:v>136</x:v>
      </x:c>
      <x:c r="C186" s="26"/>
      <x:c r="D186" s="26"/>
      <x:c r="E186" s="26"/>
      <x:c r="F186" s="26"/>
      <x:c r="G186" s="26"/>
      <x:c r="H186" s="28" t="n">
        <x:f aca="0">SUM(H175:H185)</x:f>
        <x:v>0</x:v>
      </x:c>
      <x:c r="I186" s="26"/>
      <x:c r="J186" s="26"/>
    </x:row>
    <x:row r="188" ht="15" hidden="0">
      <x:c r="J188" s="14" t="s">
        <x:v>137</x:v>
      </x:c>
    </x:row>
    <x:row r="189" ht="15" hidden="0">
      <x:c r="A189" s="15" t="s">
        <x:v>49</x:v>
      </x:c>
      <x:c r="B189" s="16" t="str">
        <x:v>W3 - acél tok / keret, toló glass (G2 - 6mm), 1100×1426</x:v>
      </x:c>
      <x:c r="C189" s="15" t="str">
        <x:v>db</x:v>
      </x:c>
      <x:c r="D189" s="15" t="n">
        <x:v>1</x:v>
      </x:c>
      <x:c r="E189" s="17" t="n">
        <x:v>0</x:v>
      </x:c>
      <x:c r="F189" s="18" t="n">
        <x:f aca="0">D189*E189</x:f>
        <x:v>0</x:v>
      </x:c>
      <x:c r="G189" s="19" t="n">
        <x:v>0</x:v>
      </x:c>
      <x:c r="H189" s="20" t="n">
        <x:f aca="0">F189*G189</x:f>
        <x:v>0</x:v>
      </x:c>
    </x:row>
    <x:row r="190" ht="15" hidden="0">
      <x:c r="A190" s="8"/>
      <x:c r="B190" s="21" t="str">
        <x:v>acél tok / keret - welded or anchored</x:v>
      </x:c>
      <x:c r="C190" s="7" t="str">
        <x:v>db</x:v>
      </x:c>
      <x:c r="D190" s="22" t="n">
        <x:v>1</x:v>
      </x:c>
      <x:c r="E190" s="23" t="n">
        <x:f aca="0">E189</x:f>
        <x:v>0</x:v>
      </x:c>
      <x:c r="F190" s="23" t="n">
        <x:f aca="0">D190*E190</x:f>
        <x:v>0</x:v>
      </x:c>
      <x:c r="G190" s="24" t="n">
        <x:v>0</x:v>
      </x:c>
      <x:c r="H190" s="25" t="n">
        <x:f aca="0">F190*G190</x:f>
        <x:v>0</x:v>
      </x:c>
      <x:c r="I190" s="7" t="str">
        <x:v>Anyag</x:v>
      </x:c>
      <x:c r="J190" s="12" t="s">
        <x:v>138</x:v>
      </x:c>
    </x:row>
    <x:row r="191" ht="15" hidden="0">
      <x:c r="A191" s="8"/>
      <x:c r="B191" s="21" t="str">
        <x:v>Glass - 6mm toughened (toló panes)</x:v>
      </x:c>
      <x:c r="C191" s="7" t="s">
        <x:v>6</x:v>
      </x:c>
      <x:c r="D191" s="22" t="n">
        <x:v>1.6</x:v>
      </x:c>
      <x:c r="E191" s="23" t="n">
        <x:f aca="0">E189</x:f>
        <x:v>0</x:v>
      </x:c>
      <x:c r="F191" s="23" t="n">
        <x:f aca="0">D191*E191</x:f>
        <x:v>0</x:v>
      </x:c>
      <x:c r="G191" s="24" t="n">
        <x:v>0</x:v>
      </x:c>
      <x:c r="H191" s="25" t="n">
        <x:f aca="0">F191*G191</x:f>
        <x:v>0</x:v>
      </x:c>
      <x:c r="I191" s="7" t="str">
        <x:v>Anyag</x:v>
      </x:c>
      <x:c r="J191" s="12" t="s">
        <x:v>139</x:v>
      </x:c>
    </x:row>
    <x:row r="192" ht="15" hidden="0">
      <x:c r="A192" s="8"/>
      <x:c r="B192" s="21" t="s">
        <x:v>133</x:v>
      </x:c>
      <x:c r="C192" s="7" t="str">
        <x:v>fm</x:v>
      </x:c>
      <x:c r="D192" s="22" t="n">
        <x:v>8</x:v>
      </x:c>
      <x:c r="E192" s="23" t="n">
        <x:f aca="0">E189</x:f>
        <x:v>0</x:v>
      </x:c>
      <x:c r="F192" s="23" t="n">
        <x:f aca="0">D192*E192</x:f>
        <x:v>0</x:v>
      </x:c>
      <x:c r="G192" s="24" t="n">
        <x:v>0</x:v>
      </x:c>
      <x:c r="H192" s="25" t="n">
        <x:f aca="0">F192*G192</x:f>
        <x:v>0</x:v>
      </x:c>
      <x:c r="I192" s="7" t="str">
        <x:v>Anyag</x:v>
      </x:c>
      <x:c r="J192" s="12"/>
    </x:row>
    <x:row r="193" ht="15" hidden="0">
      <x:c r="A193" s="8"/>
      <x:c r="B193" s="21" t="str">
        <x:v>toló tracks + görgők (acél)</x:v>
      </x:c>
      <x:c r="C193" s="7" t="str">
        <x:v>db</x:v>
      </x:c>
      <x:c r="D193" s="22" t="n">
        <x:v>1</x:v>
      </x:c>
      <x:c r="E193" s="23" t="n">
        <x:f aca="0">E189</x:f>
        <x:v>0</x:v>
      </x:c>
      <x:c r="F193" s="23" t="n">
        <x:f aca="0">D193*E193</x:f>
        <x:v>0</x:v>
      </x:c>
      <x:c r="G193" s="24" t="n">
        <x:v>0</x:v>
      </x:c>
      <x:c r="H193" s="25" t="n">
        <x:f aca="0">F193*G193</x:f>
        <x:v>0</x:v>
      </x:c>
      <x:c r="I193" s="7" t="s">
        <x:v>100</x:v>
      </x:c>
      <x:c r="J193" s="12"/>
    </x:row>
    <x:row r="194" ht="15" hidden="0">
      <x:c r="A194" s="8"/>
      <x:c r="B194" s="21" t="s">
        <x:v>135</x:v>
      </x:c>
      <x:c r="C194" s="7" t="str">
        <x:v>db</x:v>
      </x:c>
      <x:c r="D194" s="22" t="n">
        <x:v>1</x:v>
      </x:c>
      <x:c r="E194" s="23" t="n">
        <x:f aca="0">E189</x:f>
        <x:v>0</x:v>
      </x:c>
      <x:c r="F194" s="23" t="n">
        <x:f aca="0">D194*E194</x:f>
        <x:v>0</x:v>
      </x:c>
      <x:c r="G194" s="24" t="n">
        <x:v>0</x:v>
      </x:c>
      <x:c r="H194" s="25" t="n">
        <x:f aca="0">F194*G194</x:f>
        <x:v>0</x:v>
      </x:c>
      <x:c r="I194" s="7" t="s">
        <x:v>100</x:v>
      </x:c>
      <x:c r="J194" s="12"/>
    </x:row>
    <x:row r="195" ht="15" hidden="0">
      <x:c r="A195" s="8"/>
      <x:c r="B195" s="21" t="str">
        <x:v>korróziógátló primer (tok / keret)</x:v>
      </x:c>
      <x:c r="C195" s="7" t="s">
        <x:v>6</x:v>
      </x:c>
      <x:c r="D195" s="22" t="n">
        <x:v>1</x:v>
      </x:c>
      <x:c r="E195" s="23" t="n">
        <x:f aca="0">E189</x:f>
        <x:v>0</x:v>
      </x:c>
      <x:c r="F195" s="23" t="n">
        <x:f aca="0">D195*E195</x:f>
        <x:v>0</x:v>
      </x:c>
      <x:c r="G195" s="24" t="n">
        <x:v>0</x:v>
      </x:c>
      <x:c r="H195" s="25" t="n">
        <x:f aca="0">F195*G195</x:f>
        <x:v>0</x:v>
      </x:c>
      <x:c r="I195" s="7" t="str">
        <x:v>Festés</x:v>
      </x:c>
      <x:c r="J195" s="12" t="str">
        <x:v>All acél surfaces</x:v>
      </x:c>
    </x:row>
    <x:row r="196" ht="15" hidden="0">
      <x:c r="A196" s="8"/>
      <x:c r="B196" s="21" t="str">
        <x:v>Oil-based topcoat (tok / keret)</x:v>
      </x:c>
      <x:c r="C196" s="7" t="s">
        <x:v>6</x:v>
      </x:c>
      <x:c r="D196" s="22" t="n">
        <x:v>1</x:v>
      </x:c>
      <x:c r="E196" s="23" t="n">
        <x:f aca="0">E189</x:f>
        <x:v>0</x:v>
      </x:c>
      <x:c r="F196" s="23" t="n">
        <x:f aca="0">D196*E196</x:f>
        <x:v>0</x:v>
      </x:c>
      <x:c r="G196" s="24" t="n">
        <x:v>0</x:v>
      </x:c>
      <x:c r="H196" s="25" t="n">
        <x:f aca="0">F196*G196</x:f>
        <x:v>0</x:v>
      </x:c>
      <x:c r="I196" s="7" t="str">
        <x:v>Festés</x:v>
      </x:c>
      <x:c r="J196" s="12"/>
    </x:row>
    <x:row r="197" ht="15" hidden="0">
      <x:c r="A197" s="8"/>
      <x:c r="B197" s="21" t="str">
        <x:v>tömítőanyag - external</x:v>
      </x:c>
      <x:c r="C197" s="7" t="str">
        <x:v>fm</x:v>
      </x:c>
      <x:c r="D197" s="22" t="n">
        <x:v>5</x:v>
      </x:c>
      <x:c r="E197" s="23" t="n">
        <x:f aca="0">E189</x:f>
        <x:v>0</x:v>
      </x:c>
      <x:c r="F197" s="23" t="n">
        <x:f aca="0">D197*E197</x:f>
        <x:v>0</x:v>
      </x:c>
      <x:c r="G197" s="24" t="n">
        <x:v>0</x:v>
      </x:c>
      <x:c r="H197" s="25" t="n">
        <x:f aca="0">F197*G197</x:f>
        <x:v>0</x:v>
      </x:c>
      <x:c r="I197" s="7" t="str">
        <x:v>Anyag</x:v>
      </x:c>
      <x:c r="J197" s="12"/>
    </x:row>
    <x:row r="198" ht="15" hidden="0">
      <x:c r="A198" s="8"/>
      <x:c r="B198" s="21" t="str">
        <x:v>Internal kávafal szegélyprofil</x:v>
      </x:c>
      <x:c r="C198" s="7" t="str">
        <x:v>fm</x:v>
      </x:c>
      <x:c r="D198" s="22" t="n">
        <x:v>5</x:v>
      </x:c>
      <x:c r="E198" s="23" t="n">
        <x:f aca="0">E189</x:f>
        <x:v>0</x:v>
      </x:c>
      <x:c r="F198" s="23" t="n">
        <x:f aca="0">D198*E198</x:f>
        <x:v>0</x:v>
      </x:c>
      <x:c r="G198" s="24" t="n">
        <x:v>0</x:v>
      </x:c>
      <x:c r="H198" s="25" t="n">
        <x:f aca="0">F198*G198</x:f>
        <x:v>0</x:v>
      </x:c>
      <x:c r="I198" s="7" t="str">
        <x:v>Anyag</x:v>
      </x:c>
      <x:c r="J198" s="12"/>
    </x:row>
    <x:row r="199" ht="15" hidden="0">
      <x:c r="A199" s="8"/>
      <x:c r="B199" s="21" t="str">
        <x:v>External bádogos szegély</x:v>
      </x:c>
      <x:c r="C199" s="7" t="str">
        <x:v>fm</x:v>
      </x:c>
      <x:c r="D199" s="22" t="n">
        <x:v>5</x:v>
      </x:c>
      <x:c r="E199" s="23" t="n">
        <x:f aca="0">E189</x:f>
        <x:v>0</x:v>
      </x:c>
      <x:c r="F199" s="23" t="n">
        <x:f aca="0">D199*E199</x:f>
        <x:v>0</x:v>
      </x:c>
      <x:c r="G199" s="24" t="n">
        <x:v>0</x:v>
      </x:c>
      <x:c r="H199" s="25" t="n">
        <x:f aca="0">F199*G199</x:f>
        <x:v>0</x:v>
      </x:c>
      <x:c r="I199" s="7" t="str">
        <x:v>Anyag</x:v>
      </x:c>
      <x:c r="J199" s="12"/>
    </x:row>
    <x:row r="200" ht="15" hidden="0">
      <x:c r="A200" s="8"/>
      <x:c r="B200" s="21" t="str">
        <x:v>Labour - tok / keret installer</x:v>
      </x:c>
      <x:c r="C200" s="7" t="str">
        <x:v>óra</x:v>
      </x:c>
      <x:c r="D200" s="22" t="n">
        <x:v>3</x:v>
      </x:c>
      <x:c r="E200" s="23" t="n">
        <x:f aca="0">E189</x:f>
        <x:v>0</x:v>
      </x:c>
      <x:c r="F200" s="23" t="n">
        <x:f aca="0">D200*E200</x:f>
        <x:v>0</x:v>
      </x:c>
      <x:c r="G200" s="24" t="n">
        <x:v>0</x:v>
      </x:c>
      <x:c r="H200" s="25" t="n">
        <x:f aca="0">F200*G200</x:f>
        <x:v>0</x:v>
      </x:c>
      <x:c r="I200" s="7" t="str">
        <x:v>Munkaerő</x:v>
      </x:c>
      <x:c r="J200" s="12" t="str">
        <x:v>acél tok / keret is heavier</x:v>
      </x:c>
    </x:row>
    <x:row r="201" ht="15" hidden="0">
      <x:c r="A201" s="8"/>
      <x:c r="B201" s="21" t="s">
        <x:v>140</x:v>
      </x:c>
      <x:c r="C201" s="7" t="str">
        <x:v>óra</x:v>
      </x:c>
      <x:c r="D201" s="22" t="n">
        <x:v>1</x:v>
      </x:c>
      <x:c r="E201" s="23" t="n">
        <x:f aca="0">E189</x:f>
        <x:v>0</x:v>
      </x:c>
      <x:c r="F201" s="23" t="n">
        <x:f aca="0">D201*E201</x:f>
        <x:v>0</x:v>
      </x:c>
      <x:c r="G201" s="24" t="n">
        <x:v>0</x:v>
      </x:c>
      <x:c r="H201" s="25" t="n">
        <x:f aca="0">F201*G201</x:f>
        <x:v>0</x:v>
      </x:c>
      <x:c r="I201" s="7" t="str">
        <x:v>Munkaerő</x:v>
      </x:c>
      <x:c r="J201" s="12"/>
    </x:row>
    <x:row r="202" ht="15" hidden="0">
      <x:c r="A202" s="8"/>
      <x:c r="B202" s="21" t="s">
        <x:v>54</x:v>
      </x:c>
      <x:c r="C202" s="7" t="str">
        <x:v>óra</x:v>
      </x:c>
      <x:c r="D202" s="22" t="n">
        <x:v>0.5</x:v>
      </x:c>
      <x:c r="E202" s="23" t="n">
        <x:f aca="0">E189</x:f>
        <x:v>0</x:v>
      </x:c>
      <x:c r="F202" s="23" t="n">
        <x:f aca="0">D202*E202</x:f>
        <x:v>0</x:v>
      </x:c>
      <x:c r="G202" s="24" t="n">
        <x:v>0</x:v>
      </x:c>
      <x:c r="H202" s="25" t="n">
        <x:f aca="0">F202*G202</x:f>
        <x:v>0</x:v>
      </x:c>
      <x:c r="I202" s="7" t="str">
        <x:v>Munkaerő</x:v>
      </x:c>
      <x:c r="J202" s="12"/>
    </x:row>
    <x:row r="203" ht="15" hidden="0">
      <x:c r="A203" s="26"/>
      <x:c r="B203" s="27" t="s">
        <x:v>141</x:v>
      </x:c>
      <x:c r="C203" s="26"/>
      <x:c r="D203" s="26"/>
      <x:c r="E203" s="26"/>
      <x:c r="F203" s="26"/>
      <x:c r="G203" s="26"/>
      <x:c r="H203" s="28" t="n">
        <x:f aca="0">SUM(H190:H202)</x:f>
        <x:v>0</x:v>
      </x:c>
      <x:c r="I203" s="26"/>
      <x:c r="J203" s="26"/>
    </x:row>
    <x:row r="205" ht="15" hidden="0">
      <x:c r="J205" s="14" t="s">
        <x:v>142</x:v>
      </x:c>
    </x:row>
    <x:row r="206" ht="15" hidden="0">
      <x:c r="A206" s="15" t="s">
        <x:v>49</x:v>
      </x:c>
      <x:c r="B206" s="16" t="str">
        <x:v>R1 - Corrugated acél tető sheeting (measured rétegen slope)</x:v>
      </x:c>
      <x:c r="C206" s="15" t="s">
        <x:v>6</x:v>
      </x:c>
      <x:c r="D206" s="15" t="n">
        <x:v>1</x:v>
      </x:c>
      <x:c r="E206" s="17" t="n">
        <x:v>0</x:v>
      </x:c>
      <x:c r="F206" s="18" t="n">
        <x:f aca="0">D206*E206</x:f>
        <x:v>0</x:v>
      </x:c>
      <x:c r="G206" s="19" t="n">
        <x:v>0</x:v>
      </x:c>
      <x:c r="H206" s="20" t="n">
        <x:f aca="0">F206*G206</x:f>
        <x:v>0</x:v>
      </x:c>
    </x:row>
    <x:row r="207" ht="15" hidden="0">
      <x:c r="A207" s="8"/>
      <x:c r="B207" s="21" t="str">
        <x:v>Corrugated acél sheet</x:v>
      </x:c>
      <x:c r="C207" s="7" t="s">
        <x:v>6</x:v>
      </x:c>
      <x:c r="D207" s="22" t="n">
        <x:v>1.1</x:v>
      </x:c>
      <x:c r="E207" s="23" t="n">
        <x:f aca="0">E206</x:f>
        <x:v>0</x:v>
      </x:c>
      <x:c r="F207" s="23" t="n">
        <x:f aca="0">D207*E207</x:f>
        <x:v>0</x:v>
      </x:c>
      <x:c r="G207" s="24" t="n">
        <x:v>0</x:v>
      </x:c>
      <x:c r="H207" s="25" t="n">
        <x:f aca="0">F207*G207</x:f>
        <x:v>0</x:v>
      </x:c>
      <x:c r="I207" s="7" t="str">
        <x:v>Anyag</x:v>
      </x:c>
      <x:c r="J207" s="12" t="s">
        <x:v>143</x:v>
      </x:c>
    </x:row>
    <x:row r="208" ht="15" hidden="0">
      <x:c r="A208" s="8"/>
      <x:c r="B208" s="21" t="str">
        <x:v>tető underlay / sarking</x:v>
      </x:c>
      <x:c r="C208" s="7" t="s">
        <x:v>6</x:v>
      </x:c>
      <x:c r="D208" s="22" t="n">
        <x:v>1.05</x:v>
      </x:c>
      <x:c r="E208" s="23" t="n">
        <x:f aca="0">E206</x:f>
        <x:v>0</x:v>
      </x:c>
      <x:c r="F208" s="23" t="n">
        <x:f aca="0">D208*E208</x:f>
        <x:v>0</x:v>
      </x:c>
      <x:c r="G208" s="24" t="n">
        <x:v>0</x:v>
      </x:c>
      <x:c r="H208" s="25" t="n">
        <x:f aca="0">F208*G208</x:f>
        <x:v>0</x:v>
      </x:c>
      <x:c r="I208" s="7" t="str">
        <x:v>Anyag</x:v>
      </x:c>
      <x:c r="J208" s="12"/>
    </x:row>
    <x:row r="209" ht="15" hidden="0">
      <x:c r="A209" s="8"/>
      <x:c r="B209" s="21" t="s">
        <x:v>144</x:v>
      </x:c>
      <x:c r="C209" s="7" t="str">
        <x:v>db</x:v>
      </x:c>
      <x:c r="D209" s="22" t="n">
        <x:v>12</x:v>
      </x:c>
      <x:c r="E209" s="23" t="n">
        <x:f aca="0">E206</x:f>
        <x:v>0</x:v>
      </x:c>
      <x:c r="F209" s="23" t="n">
        <x:f aca="0">D209*E209</x:f>
        <x:v>0</x:v>
      </x:c>
      <x:c r="G209" s="24" t="n">
        <x:v>0</x:v>
      </x:c>
      <x:c r="H209" s="25" t="n">
        <x:f aca="0">F209*G209</x:f>
        <x:v>0</x:v>
      </x:c>
      <x:c r="I209" s="7" t="str">
        <x:v>Anyag</x:v>
      </x:c>
      <x:c r="J209" s="12" t="s">
        <x:v>145</x:v>
      </x:c>
    </x:row>
    <x:row r="210" ht="15" hidden="0">
      <x:c r="A210" s="8"/>
      <x:c r="B210" s="21" t="str">
        <x:v>kalapprofil szelemen / lécváz (if not in structural)</x:v>
      </x:c>
      <x:c r="C210" s="7" t="str">
        <x:v>fm</x:v>
      </x:c>
      <x:c r="D210" s="22" t="n">
        <x:v>0.8</x:v>
      </x:c>
      <x:c r="E210" s="23" t="n">
        <x:f aca="0">E206</x:f>
        <x:v>0</x:v>
      </x:c>
      <x:c r="F210" s="23" t="n">
        <x:f aca="0">D210*E210</x:f>
        <x:v>0</x:v>
      </x:c>
      <x:c r="G210" s="24" t="n">
        <x:v>0</x:v>
      </x:c>
      <x:c r="H210" s="25" t="n">
        <x:f aca="0">F210*G210</x:f>
        <x:v>0</x:v>
      </x:c>
      <x:c r="I210" s="7" t="str">
        <x:v>Anyag</x:v>
      </x:c>
      <x:c r="J210" s="12" t="str">
        <x:v>~1 lécváz per 1.2m</x:v>
      </x:c>
    </x:row>
    <x:row r="211" ht="15" hidden="0">
      <x:c r="A211" s="8"/>
      <x:c r="B211" s="21" t="s">
        <x:v>146</x:v>
      </x:c>
      <x:c r="C211" s="7" t="str">
        <x:v>fm</x:v>
      </x:c>
      <x:c r="D211" s="22" t="n">
        <x:v>0.05</x:v>
      </x:c>
      <x:c r="E211" s="23" t="n">
        <x:f aca="0">E206</x:f>
        <x:v>0</x:v>
      </x:c>
      <x:c r="F211" s="23" t="n">
        <x:f aca="0">D211*E211</x:f>
        <x:v>0</x:v>
      </x:c>
      <x:c r="G211" s="24" t="n">
        <x:v>0</x:v>
      </x:c>
      <x:c r="H211" s="25" t="n">
        <x:f aca="0">F211*G211</x:f>
        <x:v>0</x:v>
      </x:c>
      <x:c r="I211" s="7" t="str">
        <x:v>Anyag</x:v>
      </x:c>
      <x:c r="J211" s="12" t="str">
        <x:v>arányosítva - one ridge per tető</x:v>
      </x:c>
    </x:row>
    <x:row r="212" ht="15" hidden="0">
      <x:c r="A212" s="8"/>
      <x:c r="B212" s="21" t="s">
        <x:v>147</x:v>
      </x:c>
      <x:c r="C212" s="7" t="str">
        <x:v>fm</x:v>
      </x:c>
      <x:c r="D212" s="22" t="n">
        <x:v>0.15</x:v>
      </x:c>
      <x:c r="E212" s="23" t="n">
        <x:f aca="0">E206</x:f>
        <x:v>0</x:v>
      </x:c>
      <x:c r="F212" s="23" t="n">
        <x:f aca="0">D212*E212</x:f>
        <x:v>0</x:v>
      </x:c>
      <x:c r="G212" s="24" t="n">
        <x:v>0</x:v>
      </x:c>
      <x:c r="H212" s="25" t="n">
        <x:f aca="0">F212*G212</x:f>
        <x:v>0</x:v>
      </x:c>
      <x:c r="I212" s="7" t="str">
        <x:v>Anyag</x:v>
      </x:c>
      <x:c r="J212" s="12" t="str">
        <x:v>arányosítva</x:v>
      </x:c>
    </x:row>
    <x:row r="213" ht="15" hidden="0">
      <x:c r="A213" s="8"/>
      <x:c r="B213" s="21" t="s">
        <x:v>148</x:v>
      </x:c>
      <x:c r="C213" s="7" t="str">
        <x:v>óra</x:v>
      </x:c>
      <x:c r="D213" s="22" t="n">
        <x:v>0.25</x:v>
      </x:c>
      <x:c r="E213" s="23" t="n">
        <x:f aca="0">E206</x:f>
        <x:v>0</x:v>
      </x:c>
      <x:c r="F213" s="23" t="n">
        <x:f aca="0">D213*E213</x:f>
        <x:v>0</x:v>
      </x:c>
      <x:c r="G213" s="24" t="n">
        <x:v>0</x:v>
      </x:c>
      <x:c r="H213" s="25" t="n">
        <x:f aca="0">F213*G213</x:f>
        <x:v>0</x:v>
      </x:c>
      <x:c r="I213" s="7" t="str">
        <x:v>Munkaerő</x:v>
      </x:c>
      <x:c r="J213" s="12"/>
    </x:row>
    <x:row r="214" ht="15" hidden="0">
      <x:c r="A214" s="8"/>
      <x:c r="B214" s="21" t="s">
        <x:v>149</x:v>
      </x:c>
      <x:c r="C214" s="7" t="str">
        <x:v>óra</x:v>
      </x:c>
      <x:c r="D214" s="22" t="n">
        <x:v>0.15</x:v>
      </x:c>
      <x:c r="E214" s="23" t="n">
        <x:f aca="0">E206</x:f>
        <x:v>0</x:v>
      </x:c>
      <x:c r="F214" s="23" t="n">
        <x:f aca="0">D214*E214</x:f>
        <x:v>0</x:v>
      </x:c>
      <x:c r="G214" s="24" t="n">
        <x:v>0</x:v>
      </x:c>
      <x:c r="H214" s="25" t="n">
        <x:f aca="0">F214*G214</x:f>
        <x:v>0</x:v>
      </x:c>
      <x:c r="I214" s="7" t="str">
        <x:v>Munkaerő</x:v>
      </x:c>
      <x:c r="J214" s="12"/>
    </x:row>
    <x:row r="215" ht="15" hidden="0">
      <x:c r="A215" s="8"/>
      <x:c r="B215" s="21" t="s">
        <x:v>150</x:v>
      </x:c>
      <x:c r="C215" s="7" t="s">
        <x:v>6</x:v>
      </x:c>
      <x:c r="D215" s="22" t="n">
        <x:v>0.1</x:v>
      </x:c>
      <x:c r="E215" s="23" t="n">
        <x:f aca="0">E206</x:f>
        <x:v>0</x:v>
      </x:c>
      <x:c r="F215" s="23" t="n">
        <x:f aca="0">D215*E215</x:f>
        <x:v>0</x:v>
      </x:c>
      <x:c r="G215" s="24" t="n">
        <x:v>0</x:v>
      </x:c>
      <x:c r="H215" s="25" t="n">
        <x:f aca="0">F215*G215</x:f>
        <x:v>0</x:v>
      </x:c>
      <x:c r="I215" s="7" t="str">
        <x:v>Gép</x:v>
      </x:c>
      <x:c r="J215" s="12" t="str">
        <x:v>arányosítva over project</x:v>
      </x:c>
    </x:row>
    <x:row r="216" ht="15" hidden="0">
      <x:c r="A216" s="8"/>
      <x:c r="B216" s="21" t="s">
        <x:v>151</x:v>
      </x:c>
      <x:c r="C216" s="7" t="str">
        <x:v>óra</x:v>
      </x:c>
      <x:c r="D216" s="22" t="n">
        <x:v>0.02</x:v>
      </x:c>
      <x:c r="E216" s="23" t="n">
        <x:f aca="0">E206</x:f>
        <x:v>0</x:v>
      </x:c>
      <x:c r="F216" s="23" t="n">
        <x:f aca="0">D216*E216</x:f>
        <x:v>0</x:v>
      </x:c>
      <x:c r="G216" s="24" t="n">
        <x:v>0</x:v>
      </x:c>
      <x:c r="H216" s="25" t="n">
        <x:f aca="0">F216*G216</x:f>
        <x:v>0</x:v>
      </x:c>
      <x:c r="I216" s="7" t="str">
        <x:v>Gép</x:v>
      </x:c>
      <x:c r="J216" s="12"/>
    </x:row>
    <x:row r="217" ht="15" hidden="0">
      <x:c r="A217" s="26"/>
      <x:c r="B217" s="27" t="s">
        <x:v>152</x:v>
      </x:c>
      <x:c r="C217" s="26"/>
      <x:c r="D217" s="26"/>
      <x:c r="E217" s="26"/>
      <x:c r="F217" s="26"/>
      <x:c r="G217" s="26"/>
      <x:c r="H217" s="28" t="n">
        <x:f aca="0">SUM(H207:H216)</x:f>
        <x:v>0</x:v>
      </x:c>
      <x:c r="I217" s="26"/>
      <x:c r="J217" s="26"/>
    </x:row>
    <x:row r="219" ht="15" hidden="0">
      <x:c r="J219" s="14" t="s">
        <x:v>153</x:v>
      </x:c>
    </x:row>
    <x:row r="220" ht="15" hidden="0">
      <x:c r="A220" s="15" t="s">
        <x:v>49</x:v>
      </x:c>
      <x:c r="B220" s="16" t="str">
        <x:v>Eave gutter (folyóméterenként)</x:v>
      </x:c>
      <x:c r="C220" s="15" t="str">
        <x:v>fm</x:v>
      </x:c>
      <x:c r="D220" s="15" t="n">
        <x:v>1</x:v>
      </x:c>
      <x:c r="E220" s="17" t="n">
        <x:v>0</x:v>
      </x:c>
      <x:c r="F220" s="18" t="n">
        <x:f aca="0">D220*E220</x:f>
        <x:v>0</x:v>
      </x:c>
      <x:c r="G220" s="19" t="n">
        <x:v>0</x:v>
      </x:c>
      <x:c r="H220" s="20" t="n">
        <x:f aca="0">F220*G220</x:f>
        <x:v>0</x:v>
      </x:c>
    </x:row>
    <x:row r="221" ht="15" hidden="0">
      <x:c r="A221" s="8"/>
      <x:c r="B221" s="21" t="s">
        <x:v>154</x:v>
      </x:c>
      <x:c r="C221" s="7" t="str">
        <x:v>fm</x:v>
      </x:c>
      <x:c r="D221" s="22" t="n">
        <x:v>1.05</x:v>
      </x:c>
      <x:c r="E221" s="23" t="n">
        <x:f aca="0">E220</x:f>
        <x:v>0</x:v>
      </x:c>
      <x:c r="F221" s="23" t="n">
        <x:f aca="0">D221*E221</x:f>
        <x:v>0</x:v>
      </x:c>
      <x:c r="G221" s="24" t="n">
        <x:v>0</x:v>
      </x:c>
      <x:c r="H221" s="25" t="n">
        <x:f aca="0">F221*G221</x:f>
        <x:v>0</x:v>
      </x:c>
      <x:c r="I221" s="7" t="str">
        <x:v>Anyag</x:v>
      </x:c>
      <x:c r="J221" s="12" t="s">
        <x:v>89</x:v>
      </x:c>
    </x:row>
    <x:row r="222" ht="15" hidden="0">
      <x:c r="A222" s="8"/>
      <x:c r="B222" s="21" t="str">
        <x:v>Gutter konzolok</x:v>
      </x:c>
      <x:c r="C222" s="7" t="str">
        <x:v>db</x:v>
      </x:c>
      <x:c r="D222" s="22" t="n">
        <x:v>1.4</x:v>
      </x:c>
      <x:c r="E222" s="23" t="n">
        <x:f aca="0">E220</x:f>
        <x:v>0</x:v>
      </x:c>
      <x:c r="F222" s="23" t="n">
        <x:f aca="0">D222*E222</x:f>
        <x:v>0</x:v>
      </x:c>
      <x:c r="G222" s="24" t="n">
        <x:v>0</x:v>
      </x:c>
      <x:c r="H222" s="25" t="n">
        <x:f aca="0">F222*G222</x:f>
        <x:v>0</x:v>
      </x:c>
      <x:c r="I222" s="7" t="str">
        <x:v>Anyag</x:v>
      </x:c>
      <x:c r="J222" s="12" t="s">
        <x:v>155</x:v>
      </x:c>
    </x:row>
    <x:row r="223" ht="15" hidden="0">
      <x:c r="A223" s="8"/>
      <x:c r="B223" s="21" t="s">
        <x:v>156</x:v>
      </x:c>
      <x:c r="C223" s="7" t="str">
        <x:v>db</x:v>
      </x:c>
      <x:c r="D223" s="22" t="n">
        <x:v>0.05</x:v>
      </x:c>
      <x:c r="E223" s="23" t="n">
        <x:f aca="0">E220</x:f>
        <x:v>0</x:v>
      </x:c>
      <x:c r="F223" s="23" t="n">
        <x:f aca="0">D223*E223</x:f>
        <x:v>0</x:v>
      </x:c>
      <x:c r="G223" s="24" t="n">
        <x:v>0</x:v>
      </x:c>
      <x:c r="H223" s="25" t="n">
        <x:f aca="0">F223*G223</x:f>
        <x:v>0</x:v>
      </x:c>
      <x:c r="I223" s="7" t="str">
        <x:v>Anyag</x:v>
      </x:c>
      <x:c r="J223" s="12" t="str">
        <x:v>arányosítva at gutter ends</x:v>
      </x:c>
    </x:row>
    <x:row r="224" ht="15" hidden="0">
      <x:c r="A224" s="8"/>
      <x:c r="B224" s="21" t="s">
        <x:v>157</x:v>
      </x:c>
      <x:c r="C224" s="7" t="str">
        <x:v>db</x:v>
      </x:c>
      <x:c r="D224" s="22" t="n">
        <x:v>0.1</x:v>
      </x:c>
      <x:c r="E224" s="23" t="n">
        <x:f aca="0">E220</x:f>
        <x:v>0</x:v>
      </x:c>
      <x:c r="F224" s="23" t="n">
        <x:f aca="0">D224*E224</x:f>
        <x:v>0</x:v>
      </x:c>
      <x:c r="G224" s="24" t="n">
        <x:v>0</x:v>
      </x:c>
      <x:c r="H224" s="25" t="n">
        <x:f aca="0">F224*G224</x:f>
        <x:v>0</x:v>
      </x:c>
      <x:c r="I224" s="7" t="str">
        <x:v>Anyag</x:v>
      </x:c>
      <x:c r="J224" s="12" t="s">
        <x:v>158</x:v>
      </x:c>
    </x:row>
    <x:row r="225" ht="15" hidden="0">
      <x:c r="A225" s="8"/>
      <x:c r="B225" s="21" t="str">
        <x:v>tömítőanyag</x:v>
      </x:c>
      <x:c r="C225" s="7" t="str">
        <x:v>fm</x:v>
      </x:c>
      <x:c r="D225" s="22" t="n">
        <x:v>0.1</x:v>
      </x:c>
      <x:c r="E225" s="23" t="n">
        <x:f aca="0">E220</x:f>
        <x:v>0</x:v>
      </x:c>
      <x:c r="F225" s="23" t="n">
        <x:f aca="0">D225*E225</x:f>
        <x:v>0</x:v>
      </x:c>
      <x:c r="G225" s="24" t="n">
        <x:v>0</x:v>
      </x:c>
      <x:c r="H225" s="25" t="n">
        <x:f aca="0">F225*G225</x:f>
        <x:v>0</x:v>
      </x:c>
      <x:c r="I225" s="7" t="str">
        <x:v>Anyag</x:v>
      </x:c>
      <x:c r="J225" s="12" t="s">
        <x:v>159</x:v>
      </x:c>
    </x:row>
    <x:row r="226" ht="15" hidden="0">
      <x:c r="A226" s="8"/>
      <x:c r="B226" s="21" t="s">
        <x:v>160</x:v>
      </x:c>
      <x:c r="C226" s="7" t="str">
        <x:v>óra</x:v>
      </x:c>
      <x:c r="D226" s="22" t="n">
        <x:v>0.25</x:v>
      </x:c>
      <x:c r="E226" s="23" t="n">
        <x:f aca="0">E220</x:f>
        <x:v>0</x:v>
      </x:c>
      <x:c r="F226" s="23" t="n">
        <x:f aca="0">D226*E226</x:f>
        <x:v>0</x:v>
      </x:c>
      <x:c r="G226" s="24" t="n">
        <x:v>0</x:v>
      </x:c>
      <x:c r="H226" s="25" t="n">
        <x:f aca="0">F226*G226</x:f>
        <x:v>0</x:v>
      </x:c>
      <x:c r="I226" s="7" t="str">
        <x:v>Munkaerő</x:v>
      </x:c>
      <x:c r="J226" s="12"/>
    </x:row>
    <x:row r="227" ht="15" hidden="0">
      <x:c r="A227" s="26"/>
      <x:c r="B227" s="27" t="s">
        <x:v>161</x:v>
      </x:c>
      <x:c r="C227" s="26"/>
      <x:c r="D227" s="26"/>
      <x:c r="E227" s="26"/>
      <x:c r="F227" s="26"/>
      <x:c r="G227" s="26"/>
      <x:c r="H227" s="28" t="n">
        <x:f aca="0">SUM(H221:H226)</x:f>
        <x:v>0</x:v>
      </x:c>
      <x:c r="I227" s="26"/>
      <x:c r="J227" s="26"/>
    </x:row>
    <x:row r="229" ht="15" hidden="0">
      <x:c r="J229" s="14" t="s">
        <x:v>162</x:v>
      </x:c>
    </x:row>
    <x:row r="230" ht="15" hidden="0">
      <x:c r="A230" s="15" t="s">
        <x:v>49</x:v>
      </x:c>
      <x:c r="B230" s="16" t="str">
        <x:v>Fixed acél fence - F4+F1 (1500mm magas, festett acél)</x:v>
      </x:c>
      <x:c r="C230" s="15" t="str">
        <x:v>fm</x:v>
      </x:c>
      <x:c r="D230" s="15" t="n">
        <x:v>1</x:v>
      </x:c>
      <x:c r="E230" s="17" t="n">
        <x:v>0</x:v>
      </x:c>
      <x:c r="F230" s="18" t="n">
        <x:f aca="0">D230*E230</x:f>
        <x:v>0</x:v>
      </x:c>
      <x:c r="G230" s="19" t="n">
        <x:v>0</x:v>
      </x:c>
      <x:c r="H230" s="20" t="n">
        <x:f aca="0">F230*G230</x:f>
        <x:v>0</x:v>
      </x:c>
    </x:row>
    <x:row r="231" ht="15" hidden="0">
      <x:c r="A231" s="8"/>
      <x:c r="B231" s="21" t="str">
        <x:v>acél post 50×50 SHS at 2.4m c/c</x:v>
      </x:c>
      <x:c r="C231" s="7" t="str">
        <x:v>db</x:v>
      </x:c>
      <x:c r="D231" s="22" t="n">
        <x:v>0.42</x:v>
      </x:c>
      <x:c r="E231" s="23" t="n">
        <x:f aca="0">E230</x:f>
        <x:v>0</x:v>
      </x:c>
      <x:c r="F231" s="23" t="n">
        <x:f aca="0">D231*E231</x:f>
        <x:v>0</x:v>
      </x:c>
      <x:c r="G231" s="24" t="n">
        <x:v>0</x:v>
      </x:c>
      <x:c r="H231" s="25" t="n">
        <x:f aca="0">F231*G231</x:f>
        <x:v>0</x:v>
      </x:c>
      <x:c r="I231" s="7" t="str">
        <x:v>Anyag</x:v>
      </x:c>
      <x:c r="J231" s="12" t="s">
        <x:v>163</x:v>
      </x:c>
    </x:row>
    <x:row r="232" ht="15" hidden="0">
      <x:c r="A232" s="8"/>
      <x:c r="B232" s="21" t="str">
        <x:v>Top + bottom sínek</x:v>
      </x:c>
      <x:c r="C232" s="7" t="str">
        <x:v>fm</x:v>
      </x:c>
      <x:c r="D232" s="22" t="n">
        <x:v>2</x:v>
      </x:c>
      <x:c r="E232" s="23" t="n">
        <x:f aca="0">E230</x:f>
        <x:v>0</x:v>
      </x:c>
      <x:c r="F232" s="23" t="n">
        <x:f aca="0">D232*E232</x:f>
        <x:v>0</x:v>
      </x:c>
      <x:c r="G232" s="24" t="n">
        <x:v>0</x:v>
      </x:c>
      <x:c r="H232" s="25" t="n">
        <x:f aca="0">F232*G232</x:f>
        <x:v>0</x:v>
      </x:c>
      <x:c r="I232" s="7" t="str">
        <x:v>Anyag</x:v>
      </x:c>
      <x:c r="J232" s="12" t="str">
        <x:v>2 sínek × 1m</x:v>
      </x:c>
    </x:row>
    <x:row r="233" ht="15" hidden="0">
      <x:c r="A233" s="8"/>
      <x:c r="B233" s="21" t="str">
        <x:v>függőleges pickets / infill</x:v>
      </x:c>
      <x:c r="C233" s="7" t="str">
        <x:v>fm</x:v>
      </x:c>
      <x:c r="D233" s="22" t="n">
        <x:v>12</x:v>
      </x:c>
      <x:c r="E233" s="23" t="n">
        <x:f aca="0">E230</x:f>
        <x:v>0</x:v>
      </x:c>
      <x:c r="F233" s="23" t="n">
        <x:f aca="0">D233*E233</x:f>
        <x:v>0</x:v>
      </x:c>
      <x:c r="G233" s="24" t="n">
        <x:v>0</x:v>
      </x:c>
      <x:c r="H233" s="25" t="n">
        <x:f aca="0">F233*G233</x:f>
        <x:v>0</x:v>
      </x:c>
      <x:c r="I233" s="7" t="str">
        <x:v>Anyag</x:v>
      </x:c>
      <x:c r="J233" s="12" t="str">
        <x:v>~80mm spacing × 1.5m magasság</x:v>
      </x:c>
    </x:row>
    <x:row r="234" ht="15" hidden="0">
      <x:c r="A234" s="8"/>
      <x:c r="B234" s="21" t="s">
        <x:v>164</x:v>
      </x:c>
      <x:c r="C234" s="7" t="str">
        <x:v>db</x:v>
      </x:c>
      <x:c r="D234" s="22" t="n">
        <x:v>0.42</x:v>
      </x:c>
      <x:c r="E234" s="23" t="n">
        <x:f aca="0">E230</x:f>
        <x:v>0</x:v>
      </x:c>
      <x:c r="F234" s="23" t="n">
        <x:f aca="0">D234*E234</x:f>
        <x:v>0</x:v>
      </x:c>
      <x:c r="G234" s="24" t="n">
        <x:v>0</x:v>
      </x:c>
      <x:c r="H234" s="25" t="n">
        <x:f aca="0">F234*G234</x:f>
        <x:v>0</x:v>
      </x:c>
      <x:c r="I234" s="7" t="str">
        <x:v>Beton</x:v>
      </x:c>
      <x:c r="J234" s="12" t="s">
        <x:v>165</x:v>
      </x:c>
    </x:row>
    <x:row r="235" ht="15" hidden="0">
      <x:c r="A235" s="8"/>
      <x:c r="B235" s="21" t="str">
        <x:v>korróziógátló primer</x:v>
      </x:c>
      <x:c r="C235" s="7" t="s">
        <x:v>6</x:v>
      </x:c>
      <x:c r="D235" s="22" t="n">
        <x:v>4</x:v>
      </x:c>
      <x:c r="E235" s="23" t="n">
        <x:f aca="0">E230</x:f>
        <x:v>0</x:v>
      </x:c>
      <x:c r="F235" s="23" t="n">
        <x:f aca="0">D235*E235</x:f>
        <x:v>0</x:v>
      </x:c>
      <x:c r="G235" s="24" t="n">
        <x:v>0</x:v>
      </x:c>
      <x:c r="H235" s="25" t="n">
        <x:f aca="0">F235*G235</x:f>
        <x:v>0</x:v>
      </x:c>
      <x:c r="I235" s="7" t="str">
        <x:v>Festés</x:v>
      </x:c>
      <x:c r="J235" s="12" t="str">
        <x:v>All acél surfaces</x:v>
      </x:c>
    </x:row>
    <x:row r="236" ht="15" hidden="0">
      <x:c r="A236" s="8"/>
      <x:c r="B236" s="21" t="str">
        <x:v>Oil-based topcoat (2 rétegek)</x:v>
      </x:c>
      <x:c r="C236" s="7" t="s">
        <x:v>6</x:v>
      </x:c>
      <x:c r="D236" s="22" t="n">
        <x:v>4</x:v>
      </x:c>
      <x:c r="E236" s="23" t="n">
        <x:f aca="0">E230</x:f>
        <x:v>0</x:v>
      </x:c>
      <x:c r="F236" s="23" t="n">
        <x:f aca="0">D236*E236</x:f>
        <x:v>0</x:v>
      </x:c>
      <x:c r="G236" s="24" t="n">
        <x:v>0</x:v>
      </x:c>
      <x:c r="H236" s="25" t="n">
        <x:f aca="0">F236*G236</x:f>
        <x:v>0</x:v>
      </x:c>
      <x:c r="I236" s="7" t="str">
        <x:v>Festés</x:v>
      </x:c>
      <x:c r="J236" s="12"/>
    </x:row>
    <x:row r="237" ht="15" hidden="0">
      <x:c r="A237" s="8"/>
      <x:c r="B237" s="21" t="str">
        <x:v>Labour - acél fixer / fabricator</x:v>
      </x:c>
      <x:c r="C237" s="7" t="str">
        <x:v>óra</x:v>
      </x:c>
      <x:c r="D237" s="22" t="n">
        <x:v>0.8</x:v>
      </x:c>
      <x:c r="E237" s="23" t="n">
        <x:f aca="0">E230</x:f>
        <x:v>0</x:v>
      </x:c>
      <x:c r="F237" s="23" t="n">
        <x:f aca="0">D237*E237</x:f>
        <x:v>0</x:v>
      </x:c>
      <x:c r="G237" s="24" t="n">
        <x:v>0</x:v>
      </x:c>
      <x:c r="H237" s="25" t="n">
        <x:f aca="0">F237*G237</x:f>
        <x:v>0</x:v>
      </x:c>
      <x:c r="I237" s="7" t="str">
        <x:v>Munkaerő</x:v>
      </x:c>
      <x:c r="J237" s="12"/>
    </x:row>
    <x:row r="238" ht="15" hidden="0">
      <x:c r="A238" s="8"/>
      <x:c r="B238" s="21" t="s">
        <x:v>166</x:v>
      </x:c>
      <x:c r="C238" s="7" t="str">
        <x:v>óra</x:v>
      </x:c>
      <x:c r="D238" s="22" t="n">
        <x:v>0.3</x:v>
      </x:c>
      <x:c r="E238" s="23" t="n">
        <x:f aca="0">E230</x:f>
        <x:v>0</x:v>
      </x:c>
      <x:c r="F238" s="23" t="n">
        <x:f aca="0">D238*E238</x:f>
        <x:v>0</x:v>
      </x:c>
      <x:c r="G238" s="24" t="n">
        <x:v>0</x:v>
      </x:c>
      <x:c r="H238" s="25" t="n">
        <x:f aca="0">F238*G238</x:f>
        <x:v>0</x:v>
      </x:c>
      <x:c r="I238" s="7" t="str">
        <x:v>Munkaerő</x:v>
      </x:c>
      <x:c r="J238" s="12"/>
    </x:row>
    <x:row r="239" ht="15" hidden="0">
      <x:c r="A239" s="8"/>
      <x:c r="B239" s="21" t="s">
        <x:v>54</x:v>
      </x:c>
      <x:c r="C239" s="7" t="str">
        <x:v>óra</x:v>
      </x:c>
      <x:c r="D239" s="22" t="n">
        <x:v>0.4</x:v>
      </x:c>
      <x:c r="E239" s="23" t="n">
        <x:f aca="0">E230</x:f>
        <x:v>0</x:v>
      </x:c>
      <x:c r="F239" s="23" t="n">
        <x:f aca="0">D239*E239</x:f>
        <x:v>0</x:v>
      </x:c>
      <x:c r="G239" s="24" t="n">
        <x:v>0</x:v>
      </x:c>
      <x:c r="H239" s="25" t="n">
        <x:f aca="0">F239*G239</x:f>
        <x:v>0</x:v>
      </x:c>
      <x:c r="I239" s="7" t="str">
        <x:v>Munkaerő</x:v>
      </x:c>
      <x:c r="J239" s="12"/>
    </x:row>
    <x:row r="240" ht="15" hidden="0">
      <x:c r="A240" s="8"/>
      <x:c r="B240" s="21" t="str">
        <x:v>kotró (post holes)</x:v>
      </x:c>
      <x:c r="C240" s="7" t="str">
        <x:v>óra</x:v>
      </x:c>
      <x:c r="D240" s="22" t="n">
        <x:v>0.05</x:v>
      </x:c>
      <x:c r="E240" s="23" t="n">
        <x:f aca="0">E230</x:f>
        <x:v>0</x:v>
      </x:c>
      <x:c r="F240" s="23" t="n">
        <x:f aca="0">D240*E240</x:f>
        <x:v>0</x:v>
      </x:c>
      <x:c r="G240" s="24" t="n">
        <x:v>0</x:v>
      </x:c>
      <x:c r="H240" s="25" t="n">
        <x:f aca="0">F240*G240</x:f>
        <x:v>0</x:v>
      </x:c>
      <x:c r="I240" s="7" t="str">
        <x:v>Gép</x:v>
      </x:c>
      <x:c r="J240" s="12"/>
    </x:row>
    <x:row r="241" ht="15" hidden="0">
      <x:c r="A241" s="26"/>
      <x:c r="B241" s="27" t="s">
        <x:v>167</x:v>
      </x:c>
      <x:c r="C241" s="26"/>
      <x:c r="D241" s="26"/>
      <x:c r="E241" s="26"/>
      <x:c r="F241" s="26"/>
      <x:c r="G241" s="26"/>
      <x:c r="H241" s="28" t="n">
        <x:f aca="0">SUM(H231:H240)</x:f>
        <x:v>0</x:v>
      </x:c>
      <x:c r="I241" s="26"/>
      <x:c r="J241" s="26"/>
    </x:row>
    <x:row r="243" ht="15" hidden="0">
      <x:c r="J243" s="14" t="s">
        <x:v>168</x:v>
      </x:c>
    </x:row>
    <x:row r="244" ht="15" hidden="0">
      <x:c r="A244" s="15" t="s">
        <x:v>49</x:v>
      </x:c>
      <x:c r="B244" s="16" t="str">
        <x:v>toló fence gate (motoros, vehicle access, ~3.6m)</x:v>
      </x:c>
      <x:c r="C244" s="15" t="str">
        <x:v>db</x:v>
      </x:c>
      <x:c r="D244" s="15" t="n">
        <x:v>1</x:v>
      </x:c>
      <x:c r="E244" s="17" t="n">
        <x:v>0</x:v>
      </x:c>
      <x:c r="F244" s="18" t="n">
        <x:f aca="0">D244*E244</x:f>
        <x:v>0</x:v>
      </x:c>
      <x:c r="G244" s="19" t="n">
        <x:v>0</x:v>
      </x:c>
      <x:c r="H244" s="20" t="n">
        <x:f aca="0">F244*G244</x:f>
        <x:v>0</x:v>
      </x:c>
    </x:row>
    <x:row r="245" ht="15" hidden="0">
      <x:c r="A245" s="8"/>
      <x:c r="B245" s="21" t="str">
        <x:v>Gate tok / keret - acél SHS welded</x:v>
      </x:c>
      <x:c r="C245" s="7" t="str">
        <x:v>db</x:v>
      </x:c>
      <x:c r="D245" s="22" t="n">
        <x:v>1</x:v>
      </x:c>
      <x:c r="E245" s="23" t="n">
        <x:f aca="0">E244</x:f>
        <x:v>0</x:v>
      </x:c>
      <x:c r="F245" s="23" t="n">
        <x:f aca="0">D245*E245</x:f>
        <x:v>0</x:v>
      </x:c>
      <x:c r="G245" s="24" t="n">
        <x:v>0</x:v>
      </x:c>
      <x:c r="H245" s="25" t="n">
        <x:f aca="0">F245*G245</x:f>
        <x:v>0</x:v>
      </x:c>
      <x:c r="I245" s="7" t="str">
        <x:v>Anyag</x:v>
      </x:c>
      <x:c r="J245" s="12" t="s">
        <x:v>169</x:v>
      </x:c>
    </x:row>
    <x:row r="246" ht="15" hidden="0">
      <x:c r="A246" s="8"/>
      <x:c r="B246" s="21" t="s">
        <x:v>170</x:v>
      </x:c>
      <x:c r="C246" s="7" t="s">
        <x:v>6</x:v>
      </x:c>
      <x:c r="D246" s="22" t="n">
        <x:v>5.4</x:v>
      </x:c>
      <x:c r="E246" s="23" t="n">
        <x:f aca="0">E244</x:f>
        <x:v>0</x:v>
      </x:c>
      <x:c r="F246" s="23" t="n">
        <x:f aca="0">D246*E246</x:f>
        <x:v>0</x:v>
      </x:c>
      <x:c r="G246" s="24" t="n">
        <x:v>0</x:v>
      </x:c>
      <x:c r="H246" s="25" t="n">
        <x:f aca="0">F246*G246</x:f>
        <x:v>0</x:v>
      </x:c>
      <x:c r="I246" s="7" t="str">
        <x:v>Anyag</x:v>
      </x:c>
      <x:c r="J246" s="12" t="s">
        <x:v>171</x:v>
      </x:c>
    </x:row>
    <x:row r="247" ht="15" hidden="0">
      <x:c r="A247" s="8"/>
      <x:c r="B247" s="21" t="str">
        <x:v>Bottom sín / ground rail</x:v>
      </x:c>
      <x:c r="C247" s="7" t="str">
        <x:v>fm</x:v>
      </x:c>
      <x:c r="D247" s="22" t="n">
        <x:v>7.2</x:v>
      </x:c>
      <x:c r="E247" s="23" t="n">
        <x:f aca="0">E244</x:f>
        <x:v>0</x:v>
      </x:c>
      <x:c r="F247" s="23" t="n">
        <x:f aca="0">D247*E247</x:f>
        <x:v>0</x:v>
      </x:c>
      <x:c r="G247" s="24" t="n">
        <x:v>0</x:v>
      </x:c>
      <x:c r="H247" s="25" t="n">
        <x:f aca="0">F247*G247</x:f>
        <x:v>0</x:v>
      </x:c>
      <x:c r="I247" s="7" t="str">
        <x:v>Anyag</x:v>
      </x:c>
      <x:c r="J247" s="12" t="str">
        <x:v>2× gate szélesség for full slide</x:v>
      </x:c>
    </x:row>
    <x:row r="248" ht="15" hidden="0">
      <x:c r="A248" s="8"/>
      <x:c r="B248" s="21" t="str">
        <x:v>Top vezetősín + görgők</x:v>
      </x:c>
      <x:c r="C248" s="7" t="str">
        <x:v>fm</x:v>
      </x:c>
      <x:c r="D248" s="22" t="n">
        <x:v>7.2</x:v>
      </x:c>
      <x:c r="E248" s="23" t="n">
        <x:f aca="0">E244</x:f>
        <x:v>0</x:v>
      </x:c>
      <x:c r="F248" s="23" t="n">
        <x:f aca="0">D248*E248</x:f>
        <x:v>0</x:v>
      </x:c>
      <x:c r="G248" s="24" t="n">
        <x:v>0</x:v>
      </x:c>
      <x:c r="H248" s="25" t="n">
        <x:f aca="0">F248*G248</x:f>
        <x:v>0</x:v>
      </x:c>
      <x:c r="I248" s="7" t="str">
        <x:v>Anyag</x:v>
      </x:c>
      <x:c r="J248" s="12"/>
    </x:row>
    <x:row r="249" ht="15" hidden="0">
      <x:c r="A249" s="8"/>
      <x:c r="B249" s="21" t="str">
        <x:v>toló wheels / görgők (nagy teherbírású)</x:v>
      </x:c>
      <x:c r="C249" s="7" t="str">
        <x:v>db</x:v>
      </x:c>
      <x:c r="D249" s="22" t="n">
        <x:v>4</x:v>
      </x:c>
      <x:c r="E249" s="23" t="n">
        <x:f aca="0">E244</x:f>
        <x:v>0</x:v>
      </x:c>
      <x:c r="F249" s="23" t="n">
        <x:f aca="0">D249*E249</x:f>
        <x:v>0</x:v>
      </x:c>
      <x:c r="G249" s="24" t="n">
        <x:v>0</x:v>
      </x:c>
      <x:c r="H249" s="25" t="n">
        <x:f aca="0">F249*G249</x:f>
        <x:v>0</x:v>
      </x:c>
      <x:c r="I249" s="7" t="s">
        <x:v>100</x:v>
      </x:c>
      <x:c r="J249" s="12"/>
    </x:row>
    <x:row r="250" ht="15" hidden="0">
      <x:c r="A250" s="8"/>
      <x:c r="B250" s="21" t="s">
        <x:v>172</x:v>
      </x:c>
      <x:c r="C250" s="7" t="str">
        <x:v>db</x:v>
      </x:c>
      <x:c r="D250" s="22" t="n">
        <x:v>1</x:v>
      </x:c>
      <x:c r="E250" s="23" t="n">
        <x:f aca="0">E244</x:f>
        <x:v>0</x:v>
      </x:c>
      <x:c r="F250" s="23" t="n">
        <x:f aca="0">D250*E250</x:f>
        <x:v>0</x:v>
      </x:c>
      <x:c r="G250" s="24" t="n">
        <x:v>0</x:v>
      </x:c>
      <x:c r="H250" s="25" t="n">
        <x:f aca="0">F250*G250</x:f>
        <x:v>0</x:v>
      </x:c>
      <x:c r="I250" s="7" t="s">
        <x:v>100</x:v>
      </x:c>
      <x:c r="J250" s="12" t="s">
        <x:v>173</x:v>
      </x:c>
    </x:row>
    <x:row r="251" ht="15" hidden="0">
      <x:c r="A251" s="8"/>
      <x:c r="B251" s="21" t="s">
        <x:v>174</x:v>
      </x:c>
      <x:c r="C251" s="7" t="str">
        <x:v>db</x:v>
      </x:c>
      <x:c r="D251" s="22" t="n">
        <x:v>1</x:v>
      </x:c>
      <x:c r="E251" s="23" t="n">
        <x:f aca="0">E244</x:f>
        <x:v>0</x:v>
      </x:c>
      <x:c r="F251" s="23" t="n">
        <x:f aca="0">D251*E251</x:f>
        <x:v>0</x:v>
      </x:c>
      <x:c r="G251" s="24" t="n">
        <x:v>0</x:v>
      </x:c>
      <x:c r="H251" s="25" t="n">
        <x:f aca="0">F251*G251</x:f>
        <x:v>0</x:v>
      </x:c>
      <x:c r="I251" s="7" t="s">
        <x:v>100</x:v>
      </x:c>
      <x:c r="J251" s="12" t="s">
        <x:v>175</x:v>
      </x:c>
    </x:row>
    <x:row r="252" ht="15" hidden="0">
      <x:c r="A252" s="8"/>
      <x:c r="B252" s="21" t="s">
        <x:v>176</x:v>
      </x:c>
      <x:c r="C252" s="7" t="str">
        <x:v>db</x:v>
      </x:c>
      <x:c r="D252" s="22" t="n">
        <x:v>2</x:v>
      </x:c>
      <x:c r="E252" s="23" t="n">
        <x:f aca="0">E244</x:f>
        <x:v>0</x:v>
      </x:c>
      <x:c r="F252" s="23" t="n">
        <x:f aca="0">D252*E252</x:f>
        <x:v>0</x:v>
      </x:c>
      <x:c r="G252" s="24" t="n">
        <x:v>0</x:v>
      </x:c>
      <x:c r="H252" s="25" t="n">
        <x:f aca="0">F252*G252</x:f>
        <x:v>0</x:v>
      </x:c>
      <x:c r="I252" s="7" t="s">
        <x:v>100</x:v>
      </x:c>
      <x:c r="J252" s="12"/>
    </x:row>
    <x:row r="253" ht="15" hidden="0">
      <x:c r="A253" s="8"/>
      <x:c r="B253" s="21" t="str">
        <x:v>korróziógátló festék</x:v>
      </x:c>
      <x:c r="C253" s="7" t="s">
        <x:v>6</x:v>
      </x:c>
      <x:c r="D253" s="22" t="n">
        <x:v>12</x:v>
      </x:c>
      <x:c r="E253" s="23" t="n">
        <x:f aca="0">E244</x:f>
        <x:v>0</x:v>
      </x:c>
      <x:c r="F253" s="23" t="n">
        <x:f aca="0">D253*E253</x:f>
        <x:v>0</x:v>
      </x:c>
      <x:c r="G253" s="24" t="n">
        <x:v>0</x:v>
      </x:c>
      <x:c r="H253" s="25" t="n">
        <x:f aca="0">F253*G253</x:f>
        <x:v>0</x:v>
      </x:c>
      <x:c r="I253" s="7" t="str">
        <x:v>Festés</x:v>
      </x:c>
      <x:c r="J253" s="12" t="str">
        <x:v>All acél surfaces</x:v>
      </x:c>
    </x:row>
    <x:row r="254" ht="15" hidden="0">
      <x:c r="A254" s="8"/>
      <x:c r="B254" s="21" t="str">
        <x:v>Power befúvás (run from DB - see electrical)</x:v>
      </x:c>
      <x:c r="C254" s="7" t="str">
        <x:v>fm</x:v>
      </x:c>
      <x:c r="D254" s="22" t="n">
        <x:v>25</x:v>
      </x:c>
      <x:c r="E254" s="23" t="n">
        <x:f aca="0">E244</x:f>
        <x:v>0</x:v>
      </x:c>
      <x:c r="F254" s="23" t="n">
        <x:f aca="0">D254*E254</x:f>
        <x:v>0</x:v>
      </x:c>
      <x:c r="G254" s="24" t="n">
        <x:v>0</x:v>
      </x:c>
      <x:c r="H254" s="25" t="n">
        <x:f aca="0">F254*G254</x:f>
        <x:v>0</x:v>
      </x:c>
      <x:c r="I254" s="7" t="str">
        <x:v>Elektromos</x:v>
      </x:c>
      <x:c r="J254" s="12" t="s">
        <x:v>177</x:v>
      </x:c>
    </x:row>
    <x:row r="255" ht="15" hidden="0">
      <x:c r="A255" s="8"/>
      <x:c r="B255" s="21" t="s">
        <x:v>178</x:v>
      </x:c>
      <x:c r="C255" s="7" t="str">
        <x:v>óra</x:v>
      </x:c>
      <x:c r="D255" s="22" t="n">
        <x:v>12</x:v>
      </x:c>
      <x:c r="E255" s="23" t="n">
        <x:f aca="0">E244</x:f>
        <x:v>0</x:v>
      </x:c>
      <x:c r="F255" s="23" t="n">
        <x:f aca="0">D255*E255</x:f>
        <x:v>0</x:v>
      </x:c>
      <x:c r="G255" s="24" t="n">
        <x:v>0</x:v>
      </x:c>
      <x:c r="H255" s="25" t="n">
        <x:f aca="0">F255*G255</x:f>
        <x:v>0</x:v>
      </x:c>
      <x:c r="I255" s="7" t="str">
        <x:v>Munkaerő</x:v>
      </x:c>
      <x:c r="J255" s="12" t="str">
        <x:v>1.5 day szerelés</x:v>
      </x:c>
    </x:row>
    <x:row r="256" ht="15" hidden="0">
      <x:c r="A256" s="8"/>
      <x:c r="B256" s="21" t="str">
        <x:v>Labour - electrical lezárás</x:v>
      </x:c>
      <x:c r="C256" s="7" t="str">
        <x:v>óra</x:v>
      </x:c>
      <x:c r="D256" s="22" t="n">
        <x:v>4</x:v>
      </x:c>
      <x:c r="E256" s="23" t="n">
        <x:f aca="0">E244</x:f>
        <x:v>0</x:v>
      </x:c>
      <x:c r="F256" s="23" t="n">
        <x:f aca="0">D256*E256</x:f>
        <x:v>0</x:v>
      </x:c>
      <x:c r="G256" s="24" t="n">
        <x:v>0</x:v>
      </x:c>
      <x:c r="H256" s="25" t="n">
        <x:f aca="0">F256*G256</x:f>
        <x:v>0</x:v>
      </x:c>
      <x:c r="I256" s="7" t="str">
        <x:v>Munkaerő</x:v>
      </x:c>
      <x:c r="J256" s="12"/>
    </x:row>
    <x:row r="257" ht="15" hidden="0">
      <x:c r="A257" s="8"/>
      <x:c r="B257" s="21" t="s">
        <x:v>179</x:v>
      </x:c>
      <x:c r="C257" s="7" t="str">
        <x:v>óra</x:v>
      </x:c>
      <x:c r="D257" s="22" t="n">
        <x:v>2</x:v>
      </x:c>
      <x:c r="E257" s="23" t="n">
        <x:f aca="0">E244</x:f>
        <x:v>0</x:v>
      </x:c>
      <x:c r="F257" s="23" t="n">
        <x:f aca="0">D257*E257</x:f>
        <x:v>0</x:v>
      </x:c>
      <x:c r="G257" s="24" t="n">
        <x:v>0</x:v>
      </x:c>
      <x:c r="H257" s="25" t="n">
        <x:f aca="0">F257*G257</x:f>
        <x:v>0</x:v>
      </x:c>
      <x:c r="I257" s="7" t="str">
        <x:v>Munkaerő</x:v>
      </x:c>
      <x:c r="J257" s="12"/>
    </x:row>
    <x:row r="258" ht="15" hidden="0">
      <x:c r="A258" s="26"/>
      <x:c r="B258" s="27" t="s">
        <x:v>180</x:v>
      </x:c>
      <x:c r="C258" s="26"/>
      <x:c r="D258" s="26"/>
      <x:c r="E258" s="26"/>
      <x:c r="F258" s="26"/>
      <x:c r="G258" s="26"/>
      <x:c r="H258" s="28" t="n">
        <x:f aca="0">SUM(H245:H257)</x:f>
        <x:v>0</x:v>
      </x:c>
      <x:c r="I258" s="26"/>
      <x:c r="J258" s="26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8" hidden="0" customWidth="1"/>
    <x:col min="2" max="2" width="50" hidden="0" customWidth="1"/>
    <x:col min="3" max="3" width="15" hidden="0" customWidth="1"/>
    <x:col min="4" max="4" width="25" hidden="0" customWidth="1"/>
  </x:cols>
  <x:sheetData>
    <x:row r="1" ht="20.850000381469727" hidden="0" customHeight="1">
      <x:c r="A1" s="1" t="str">
        <x:v>ÉPÍTÉSZETI MENNYISÉGFELVÉTEL - JELMAGYARÁZAT</x:v>
      </x:c>
      <x:c r="B1" s="1"/>
      <x:c r="C1" s="1"/>
      <x:c r="D1" s="1"/>
    </x:row>
    <x:row r="3" ht="15" hidden="0">
      <x:c r="A3" s="29" t="str">
        <x:v>Cellaszínek jelentése</x:v>
      </x:c>
    </x:row>
    <x:row r="4" ht="15" hidden="0">
      <x:c r="A4" s="2" t="str">
        <x:v>Sárga háttér + kék szöveg</x:v>
      </x:c>
      <x:c r="B4" s="30" t="str">
        <x:v>ADATBEVITELI cellák - mérések, fajlagosok, egységárak</x:v>
      </x:c>
      <x:c r="C4" s="31" t="str">
        <x:v>ADATBEVITEL</x:v>
      </x:c>
      <x:c r="D4" s="32" t="str">
        <x:v>Ezeket kell kitölteni</x:v>
      </x:c>
    </x:row>
    <x:row r="5" ht="15" hidden="0">
      <x:c r="A5" s="2" t="str">
        <x:v>Fehér háttér + fekete szöveg</x:v>
      </x:c>
      <x:c r="B5" s="30" t="str">
        <x:v>KÉPLETES cellák - automatikusan számolt értékek</x:v>
      </x:c>
      <x:c r="D5" s="32" t="str">
        <x:v>Ne módosítsa</x:v>
      </x:c>
    </x:row>
    <x:row r="6" ht="15" hidden="0">
      <x:c r="A6" s="2" t="str">
        <x:v>Zöld háttér</x:v>
      </x:c>
      <x:c r="B6" s="30" t="str">
        <x:v>PRIMER assembly sor - ebből számolódik minden komponens</x:v>
      </x:c>
      <x:c r="C6" s="15" t="str">
        <x:v>PRIMER SOR</x:v>
      </x:c>
      <x:c r="D6" s="32" t="s">
        <x:v>181</x:v>
      </x:c>
    </x:row>
    <x:row r="7" ht="15" hidden="0">
      <x:c r="A7" s="2" t="str">
        <x:v>Arany háttér</x:v>
      </x:c>
      <x:c r="B7" s="30" t="str">
        <x:v>Részösszeg sor</x:v>
      </x:c>
      <x:c r="C7" s="33" t="str">
        <x:v>RÉSZÖSSZEG</x:v>
      </x:c>
      <x:c r="D7" s="32" t="str">
        <x:v> assembly</x:v>
      </x:c>
    </x:row>
    <x:row r="8" ht="15" hidden="0">
      <x:c r="A8" s="2" t="str">
        <x:v>Világoskék háttér</x:v>
      </x:c>
      <x:c r="B8" s="30" t="s">
        <x:v>182</x:v>
      </x:c>
      <x:c r="C8" s="34" t="str">
        <x:v>KATEGÓRIA</x:v>
      </x:c>
      <x:c r="D8" s="32" t="str">
        <x:v>Szakasz elválasztó</x:v>
      </x:c>
    </x:row>
    <x:row r="9" ht="15" hidden="0">
      <x:c r="A9" s="2" t="str">
        <x:v>Sötétkék háttér + fehér szöveg</x:v>
      </x:c>
      <x:c r="B9" s="30" t="str">
        <x:v>Oszlopfejléc</x:v>
      </x:c>
      <x:c r="C9" s="35" t="str">
        <x:v>FEJLÉC</x:v>
      </x:c>
      <x:c r="D9" s="32" t="s">
        <x:v>183</x:v>
      </x:c>
    </x:row>
    <x:row r="12" ht="15" hidden="0">
      <x:c r="A12" s="29" t="str">
        <x:v>Használat</x:v>
      </x:c>
    </x:row>
    <x:row r="13" ht="35.04999923706055" hidden="0">
      <x:c r="A13" s="2" t="s">
        <x:v>184</x:v>
      </x:c>
      <x:c r="B13" s="36" t="str">
        <x:v>In the "Architectural QTO" sheet: enter mérések per terv in the yellow cells (Dwg 1 - Dwg 8). Total qty calculates automatically.</x:v>
      </x:c>
    </x:row>
    <x:row r="14" ht="35.04999923706055" hidden="0">
      <x:c r="A14" s="2" t="s">
        <x:v>185</x:v>
      </x:c>
      <x:c r="B14" s="36" t="str">
        <x:v>In the "Assemblies" sheet: enter the primer quantity (yellow cell) for each assembly. The components calculate automatically based rétegen the fajlagosok.</x:v>
      </x:c>
    </x:row>
    <x:row r="15" ht="23.850000381469727" hidden="0">
      <x:c r="A15" s="2" t="s">
        <x:v>186</x:v>
      </x:c>
      <x:c r="B15" s="36" t="str">
        <x:v>Update egységárak (yellow cells in Assemblies) using your cost library, supplier quotes, or first-principles pricing.</x:v>
      </x:c>
    </x:row>
    <x:row r="16" ht="35.04999923706055" hidden="0">
      <x:c r="A16" s="2" t="s">
        <x:v>187</x:v>
      </x:c>
      <x:c r="B16" s="36" t="str">
        <x:v>Adjust component fajlagosok where they differ from the defaults - e.g. if your wall magasság is 2.4m not 3.0m, scale the fajlagosok in the wall assemblies accordingly.</x:v>
      </x:c>
    </x:row>
    <x:row r="17" ht="23.850000381469727" hidden="0">
      <x:c r="A17" s="2" t="s">
        <x:v>188</x:v>
      </x:c>
      <x:c r="B17" s="36" t="str">
        <x:v>Each assembly subtotal = total cost for that assembly at the primer quantity entered.</x:v>
      </x:c>
    </x:row>
    <x:row r="18" ht="23.850000381469727" hidden="0">
      <x:c r="A18" s="2" t="s">
        <x:v>189</x:v>
      </x:c>
      <x:c r="B18" s="36" t="str">
        <x:v>Sum subtotals across all assemblies = direct cost. Apply margins, prelims, és overheads rétegen top per your tender format.</x:v>
      </x:c>
    </x:row>
    <x:row r="21" ht="15" hidden="0">
      <x:c r="A21" s="29" t="str">
        <x:v>terv Reference (this take-off)</x:v>
      </x:c>
    </x:row>
    <x:row r="22" ht="15" hidden="0">
      <x:c r="A22" s="2" t="s">
        <x:v>190</x:v>
      </x:c>
      <x:c r="B22" s="30" t="str">
        <x:v>padló plan + külső oldalon finishes notes</x:v>
      </x:c>
      <x:c r="D22" s="32" t="str">
        <x:v>Wall lengths, padló areas, room layouts, fence layout</x:v>
      </x:c>
    </x:row>
    <x:row r="23" ht="15" hidden="0">
      <x:c r="A23" s="2" t="s">
        <x:v>191</x:v>
      </x:c>
      <x:c r="B23" s="30" t="s">
        <x:v>192</x:v>
      </x:c>
      <x:c r="D23" s="32" t="str">
        <x:v>Wall heights, ablak/ajtó positions, finish callouts</x:v>
      </x:c>
    </x:row>
    <x:row r="24" ht="15" hidden="0">
      <x:c r="A24" s="2" t="s">
        <x:v>193</x:v>
      </x:c>
      <x:c r="B24" s="30" t="s">
        <x:v>194</x:v>
      </x:c>
      <x:c r="D24" s="32" t="str">
        <x:v>tető line, additional finish info, wall heights</x:v>
      </x:c>
    </x:row>
    <x:row r="25" ht="15" hidden="0">
      <x:c r="A25" s="2" t="s">
        <x:v>195</x:v>
      </x:c>
      <x:c r="B25" s="30" t="s">
        <x:v>196</x:v>
      </x:c>
      <x:c r="D25" s="32" t="str">
        <x:v>ajtó + ablak types, fence + gate detail, Belső válaszfal layouts</x:v>
      </x:c>
    </x:row>
    <x:row r="26" ht="15" hidden="0">
      <x:c r="A26" s="2" t="s">
        <x:v>197</x:v>
      </x:c>
      <x:c r="B26" s="30" t="str">
        <x:v>tető structural</x:v>
      </x:c>
      <x:c r="D26" s="32" t="str">
        <x:v>tető area boundaries (tető structure is structural QTO scope)</x:v>
      </x:c>
    </x:row>
    <x:row r="27" ht="15" hidden="0">
      <x:c r="A27" s="2" t="s">
        <x:v>198</x:v>
      </x:c>
      <x:c r="B27" s="30" t="str">
        <x:v>Elektromos</x:v>
      </x:c>
      <x:c r="D27" s="32" t="str">
        <x:v>Power befúvás for motoros gate (cross-ref only - electrical QTO scope)</x:v>
      </x:c>
    </x:row>
  </x:sheetData>
  <x:mergeCells>
    <x:mergeCell ref="A1:D1"/>
  </x:mergeCells>
  <x:pageMargins left="0.7" right="0.7" top="0.75" bottom="0.75" header="0.3" footer="0.3"/>
</x:worksheet>
</file>