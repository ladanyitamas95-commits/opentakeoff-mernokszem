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1250376b9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vil QTO" sheetId="1" r:id="Red407392669f452d"/>
    <x:sheet xmlns:r="http://schemas.openxmlformats.org/officeDocument/2006/relationships" name="Assemblies" sheetId="2" r:id="R5b694f347caa4fd8"/>
    <x:sheet xmlns:r="http://schemas.openxmlformats.org/officeDocument/2006/relationships" name="Sheet1" sheetId="3" r:id="R225e61fdedb64241"/>
  </x:sheets>
</x:workbook>
</file>

<file path=xl/sharedStrings.xml><?xml version="1.0" encoding="utf-8"?>
<x:sst xmlns:x="http://schemas.openxmlformats.org/spreadsheetml/2006/main">
  <x:si>
    <x:t xml:space="preserve">TOTAL
QTY</x:t>
  </x:si>
  <x:si>
    <x:t xml:space="preserve">m³</x:t>
  </x:si>
  <x:si>
    <x:t xml:space="preserve">1.10</x:t>
  </x:si>
  <x:si>
    <x:t xml:space="preserve">1.11</x:t>
  </x:si>
  <x:si>
    <x:t xml:space="preserve">m²</x:t>
  </x:si>
  <x:si>
    <x:t xml:space="preserve">150-200mm layers</x:t>
  </x:si>
  <x:si>
    <x:t xml:space="preserve">1.12</x:t>
  </x:si>
  <x:si>
    <x:t xml:space="preserve">CBR requirements per spec</x:t>
  </x:si>
  <x:si>
    <x:t xml:space="preserve">1.13</x:t>
  </x:si>
  <x:si>
    <x:t xml:space="preserve">1.14</x:t>
  </x:si>
  <x:si>
    <x:t xml:space="preserve">1.15</x:t>
  </x:si>
  <x:si>
    <x:t xml:space="preserve">Geotextile / separation fabric</x:t>
  </x:si>
  <x:si>
    <x:t xml:space="preserve">Allow overlaps (300mm typical)</x:t>
  </x:si>
  <x:si>
    <x:t xml:space="preserve">1.16</x:t>
  </x:si>
  <x:si>
    <x:t xml:space="preserve">1.17</x:t>
  </x:si>
  <x:si>
    <x:t xml:space="preserve">Lime / cement stabilisation</x:t>
  </x:si>
  <x:si>
    <x:t xml:space="preserve">Volume × density (typ 2.35 t/m³)</x:t>
  </x:si>
  <x:si>
    <x:t xml:space="preserve">Volume × density. Check mix design</x:t>
  </x:si>
  <x:si>
    <x:t xml:space="preserve">Primer seal / tack coat</x:t>
  </x:si>
  <x:si>
    <x:t xml:space="preserve">Spray seal</x:t>
  </x:si>
  <x:si>
    <x:t xml:space="preserve">Profiling / milling existing pavement</x:t>
  </x:si>
  <x:si>
    <x:t xml:space="preserve">2.10</x:t>
  </x:si>
  <x:si>
    <x:t xml:space="preserve">Profiling waste disposal</x:t>
  </x:si>
  <x:si>
    <x:t xml:space="preserve">2.11</x:t>
  </x:si>
  <x:si>
    <x:t xml:space="preserve">Geogrid / stabilisation layer</x:t>
  </x:si>
  <x:si>
    <x:t xml:space="preserve">2.12</x:t>
  </x:si>
  <x:si>
    <x:t xml:space="preserve">2.13</x:t>
  </x:si>
  <x:si>
    <x:t xml:space="preserve">2.14</x:t>
  </x:si>
  <x:si>
    <x:t xml:space="preserve">2.15</x:t>
  </x:si>
  <x:si>
    <x:t xml:space="preserve">Vehicle crossover / layback</x:t>
  </x:si>
  <x:si>
    <x:t xml:space="preserve">2.16</x:t>
  </x:si>
  <x:si>
    <x:t xml:space="preserve">Concrete median / island</x:t>
  </x:si>
  <x:si>
    <x:t xml:space="preserve">2.17</x:t>
  </x:si>
  <x:si>
    <x:t xml:space="preserve">Footpath slab (thickness: ___mm)</x:t>
  </x:si>
  <x:si>
    <x:t xml:space="preserve">2.18</x:t>
  </x:si>
  <x:si>
    <x:t xml:space="preserve">2.19</x:t>
  </x:si>
  <x:si>
    <x:t xml:space="preserve">Control joints / saw cuts</x:t>
  </x:si>
  <x:si>
    <x:t xml:space="preserve">3.10</x:t>
  </x:si>
  <x:si>
    <x:t xml:space="preserve">Headwall / endwall</x:t>
  </x:si>
  <x:si>
    <x:t xml:space="preserve">3.11</x:t>
  </x:si>
  <x:si>
    <x:t xml:space="preserve">Box culvert (___mm × ___mm)</x:t>
  </x:si>
  <x:si>
    <x:t xml:space="preserve">3.12</x:t>
  </x:si>
  <x:si>
    <x:t xml:space="preserve">Open channel / swale (lined)</x:t>
  </x:si>
  <x:si>
    <x:t xml:space="preserve">3.13</x:t>
  </x:si>
  <x:si>
    <x:t xml:space="preserve">Open channel / swale (unlined)</x:t>
  </x:si>
  <x:si>
    <x:t xml:space="preserve">3.14</x:t>
  </x:si>
  <x:si>
    <x:t xml:space="preserve">3.15</x:t>
  </x:si>
  <x:si>
    <x:t xml:space="preserve">Subsoil drain – filter material</x:t>
  </x:si>
  <x:si>
    <x:t xml:space="preserve">3.16</x:t>
  </x:si>
  <x:si>
    <x:t xml:space="preserve">3.17</x:t>
  </x:si>
  <x:si>
    <x:t xml:space="preserve">Erosion protection / rip rap</x:t>
  </x:si>
  <x:si>
    <x:t xml:space="preserve">3.18</x:t>
  </x:si>
  <x:si>
    <x:t xml:space="preserve">3.19</x:t>
  </x:si>
  <x:si>
    <x:t xml:space="preserve">Fire hydrant</x:t>
  </x:si>
  <x:si>
    <x:t xml:space="preserve">4.10</x:t>
  </x:si>
  <x:si>
    <x:t xml:space="preserve">4.11</x:t>
  </x:si>
  <x:si>
    <x:t xml:space="preserve">4.12</x:t>
  </x:si>
  <x:si>
    <x:t xml:space="preserve">4.13</x:t>
  </x:si>
  <x:si>
    <x:t xml:space="preserve">Silt fence</x:t>
  </x:si>
  <x:si>
    <x:t xml:space="preserve">From ESCP</x:t>
  </x:si>
  <x:si>
    <x:t xml:space="preserve">Erosion control blanket</x:t>
  </x:si>
  <x:si>
    <x:t xml:space="preserve">Check dam (temporary)</x:t>
  </x:si>
  <x:si>
    <x:t xml:space="preserve">Traffic management – setup</x:t>
  </x:si>
  <x:si>
    <x:t xml:space="preserve">5.10</x:t>
  </x:si>
  <x:si>
    <x:t xml:space="preserve">Traffic management – maintenance</x:t>
  </x:si>
  <x:si>
    <x:t xml:space="preserve">5.11</x:t>
  </x:si>
  <x:si>
    <x:t xml:space="preserve">5.12</x:t>
  </x:si>
  <x:si>
    <x:t xml:space="preserve">See electrical QTO</x:t>
  </x:si>
  <x:si>
    <x:t xml:space="preserve">Gas main</x:t>
  </x:si>
  <x:si>
    <x:t xml:space="preserve">6.10</x:t>
  </x:si>
  <x:si>
    <x:t xml:space="preserve">Parking bay marking</x:t>
  </x:si>
  <x:si>
    <x:t xml:space="preserve">Pedestrian crossing marking</x:t>
  </x:si>
  <x:si>
    <x:t xml:space="preserve">Pavement arrows / symbols</x:t>
  </x:si>
  <x:si>
    <x:t xml:space="preserve">Regulatory sign (specify type)</x:t>
  </x:si>
  <x:si>
    <x:t xml:space="preserve">Warning sign</x:t>
  </x:si>
  <x:si>
    <x:t xml:space="preserve">Guide / information sign</x:t>
  </x:si>
  <x:si>
    <x:t xml:space="preserve">7.10</x:t>
  </x:si>
  <x:si>
    <x:t xml:space="preserve">7.11</x:t>
  </x:si>
  <x:si>
    <x:t xml:space="preserve">Sign gantry / multi-post</x:t>
  </x:si>
  <x:si>
    <x:t xml:space="preserve">7.12</x:t>
  </x:si>
  <x:si>
    <x:t xml:space="preserve">Speed hump / speed cushion</x:t>
  </x:si>
  <x:si>
    <x:t xml:space="preserve">W-beam guardrail</x:t>
  </x:si>
  <x:si>
    <x:t xml:space="preserve">Incl end terminals</x:t>
  </x:si>
  <x:si>
    <x:t xml:space="preserve">Wire rope barrier</x:t>
  </x:si>
  <x:si>
    <x:t xml:space="preserve">Concrete barrier (F-type / jersey)</x:t>
  </x:si>
  <x:si>
    <x:t xml:space="preserve">Pedestrian handrail</x:t>
  </x:si>
  <x:si>
    <x:t xml:space="preserve">Bollard (fixed)</x:t>
  </x:si>
  <x:si>
    <x:t xml:space="preserve">Bollard (removable)</x:t>
  </x:si>
  <x:si>
    <x:t xml:space="preserve">Wheel stop</x:t>
  </x:si>
  <x:si>
    <x:t xml:space="preserve">Topsoil respread</x:t>
  </x:si>
  <x:si>
    <x:t xml:space="preserve">Hydromulch / hydroseed</x:t>
  </x:si>
  <x:si>
    <x:t xml:space="preserve">Shrub planting</x:t>
  </x:si>
  <x:si>
    <x:t xml:space="preserve">Mulch</x:t>
  </x:si>
  <x:si>
    <x:t xml:space="preserve">Irrigation system</x:t>
  </x:si>
  <x:si>
    <x:t xml:space="preserve">Assembly
Ref</x:t>
  </x:si>
  <x:si>
    <x:t xml:space="preserve">Extended
Qty</x:t>
  </x:si>
  <x:si>
    <x:t xml:space="preserve">P</x:t>
  </x:si>
  <x:si>
    <x:t xml:space="preserve">~50 m³/hr bank</x:t>
  </x:si>
  <x:si>
    <x:t xml:space="preserve">200mm layers</x:t>
  </x:si>
  <x:si>
    <x:t xml:space="preserve">Survey – set out / check levels</x:t>
  </x:si>
  <x:si>
    <x:t xml:space="preserve">Earthworks</x:t>
  </x:si>
  <x:si>
    <x:t xml:space="preserve">25% for clay. 40-60% for rock</x:t>
  </x:si>
  <x:si>
    <x:t xml:space="preserve">ASSEMBLY 1 SUBTOTAL</x:t>
  </x:si>
  <x:si>
    <x:t xml:space="preserve">QTO Ref 3.1 (shallow)</x:t>
  </x:si>
  <x:si>
    <x:t xml:space="preserve">Rubber ring joint / gasket</x:t>
  </x:si>
  <x:si>
    <x:t xml:space="preserve">0.9m × 0.1m</x:t>
  </x:si>
  <x:si>
    <x:t xml:space="preserve">Labour – labourer</x:t>
  </x:si>
  <x:si>
    <x:t xml:space="preserve">Plate compactor</x:t>
  </x:si>
  <x:si>
    <x:t xml:space="preserve">ASSEMBLY 2 SUBTOTAL</x:t>
  </x:si>
  <x:si>
    <x:t xml:space="preserve">Temp Works</x:t>
  </x:si>
  <x:si>
    <x:t xml:space="preserve">1.5m × 0.1m</x:t>
  </x:si>
  <x:si>
    <x:t xml:space="preserve">Significantly more than shallow</x:t>
  </x:si>
  <x:si>
    <x:t xml:space="preserve">More layers = more passes</x:t>
  </x:si>
  <x:si>
    <x:t xml:space="preserve">ASSEMBLY 3 SUBTOTAL</x:t>
  </x:si>
  <x:si>
    <x:t xml:space="preserve">QTO Ref 3.7</x:t>
  </x:si>
  <x:si>
    <x:t xml:space="preserve">Step irons</x:t>
  </x:si>
  <x:si>
    <x:t xml:space="preserve">Depths &gt;1.0m</x:t>
  </x:si>
  <x:si>
    <x:t xml:space="preserve">ASSEMBLY 4 SUBTOTAL</x:t>
  </x:si>
  <x:si>
    <x:t xml:space="preserve">QTO Ref 2.6</x:t>
  </x:si>
  <x:si>
    <x:t xml:space="preserve">Tack coat (bitumen emulsion)</x:t>
  </x:si>
  <x:si>
    <x:t xml:space="preserve">~10.4 m² per tonne at 40mm, 2.35 t/m³</x:t>
  </x:si>
  <x:si>
    <x:t xml:space="preserve">Edge preparation / string line</x:t>
  </x:si>
  <x:si>
    <x:t xml:space="preserve">Labour – raker / labourer</x:t>
  </x:si>
  <x:si>
    <x:t xml:space="preserve">2-3 per crew</x:t>
  </x:si>
  <x:si>
    <x:t xml:space="preserve">ASSEMBLY 5 SUBTOTAL</x:t>
  </x:si>
  <x:si>
    <x:t xml:space="preserve">~25 m³/hr</x:t>
  </x:si>
  <x:si>
    <x:t xml:space="preserve">Erosion Control</x:t>
  </x:si>
  <x:si>
    <x:t xml:space="preserve">ASSEMBLY 6 SUBTOTAL</x:t>
  </x:si>
  <x:si>
    <x:t xml:space="preserve">QTO Ref 2.12</x:t>
  </x:si>
  <x:si>
    <x:t xml:space="preserve">Barrier profile</x:t>
  </x:si>
  <x:si>
    <x:t xml:space="preserve">Formwork</x:t>
  </x:si>
  <x:si>
    <x:t xml:space="preserve">kg</x:t>
  </x:si>
  <x:si>
    <x:t xml:space="preserve">Expansion joint filler (3m centres)</x:t>
  </x:si>
  <x:si>
    <x:t xml:space="preserve">Curing compound</x:t>
  </x:si>
  <x:si>
    <x:t xml:space="preserve">Labour – concreter</x:t>
  </x:si>
  <x:si>
    <x:t xml:space="preserve">Machine-laid</x:t>
  </x:si>
  <x:si>
    <x:t xml:space="preserve">String line / set-out</x:t>
  </x:si>
  <x:si>
    <x:t xml:space="preserve">ASSEMBLY 7 SUBTOTAL</x:t>
  </x:si>
  <x:si>
    <x:t xml:space="preserve">QTO Ref 3.14</x:t>
  </x:si>
  <x:si>
    <x:t xml:space="preserve">Subsoil drain – 100mm slotted PVC</x:t>
  </x:si>
  <x:si>
    <x:t xml:space="preserve">1 per ~100m</x:t>
  </x:si>
  <x:si>
    <x:t xml:space="preserve">Labour – drain layer</x:t>
  </x:si>
  <x:si>
    <x:t xml:space="preserve">ASSEMBLY 8 SUBTOTAL</x:t>
  </x:si>
</x:sst>
</file>

<file path=xl/styles.xml><?xml version="1.0" encoding="utf-8"?>
<x:styleSheet xmlns:x="http://schemas.openxmlformats.org/spreadsheetml/2006/main">
  <x:numFmts count="2">
    <x:numFmt numFmtId="164" formatCode="#,##0.0"/>
    <x:numFmt numFmtId="165" formatCode="\$#,##0.00"/>
  </x:numFmts>
  <x:fonts count="14">
    <x:font>
      <x:sz val="11"/>
      <x:color theme="1"/>
      <x:name val="Calibri"/>
    </x:font>
    <x:font>
      <x:b/>
      <x:sz val="14"/>
      <x:color rgb="FF1F3864"/>
      <x:name val="Arial"/>
    </x:font>
    <x:font>
      <x:sz val="10"/>
      <x:color rgb="FF4472C4"/>
      <x:name val="Arial"/>
    </x:font>
    <x:font>
      <x:b/>
      <x:sz val="11"/>
      <x:color rgb="FFFFFFFF"/>
      <x:name val="Arial"/>
    </x:font>
    <x:font>
      <x:i/>
      <x:sz val="8"/>
      <x:color rgb="FF808080"/>
      <x:name val="Arial"/>
    </x:font>
    <x:font>
      <x:b/>
      <x:sz val="10"/>
      <x:color rgb="FF1F3864"/>
      <x:name val="Arial"/>
    </x:font>
    <x:font>
      <x:sz val="10"/>
      <x:name val="Arial"/>
    </x:font>
    <x:font>
      <x:b/>
      <x:sz val="10"/>
      <x:name val="Arial"/>
    </x:font>
    <x:font>
      <x:i/>
      <x:sz val="9"/>
      <x:color rgb="FF808080"/>
      <x:name val="Arial"/>
    </x:font>
    <x:font>
      <x:i/>
      <x:sz val="9"/>
      <x:color rgb="FF4472C4"/>
      <x:name val="Arial"/>
    </x:font>
    <x:font>
      <x:sz val="10"/>
      <x:color rgb="FF0000FF"/>
      <x:name val="Arial"/>
    </x:font>
    <x:font>
      <x:sz val="9"/>
      <x:name val="Arial"/>
    </x:font>
    <x:font>
      <x:b/>
      <x:sz val="11"/>
      <x:color theme="1"/>
      <x:name val="Calibri"/>
    </x:font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6E4F0"/>
      </x:patternFill>
    </x:fill>
    <x:fill>
      <x:patternFill patternType="solid">
        <x:fgColor rgb="FFE2EFDA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0" fontId="0" fillId="3" borderId="0" xfId="0" applyFill="1"/>
    <x:xf numFmtId="0" fontId="5" fillId="3" borderId="0" xfId="0" applyFont="1" applyFill="1"/>
    <x:xf numFmtId="0" fontId="6" fillId="0" borderId="1" xfId="0" applyFont="1" applyBorder="1" applyAlignment="1">
      <x:alignment horizontal="center"/>
    </x:xf>
    <x:xf numFmtId="0" fontId="0" fillId="0" borderId="1" xfId="0" applyBorder="1"/>
    <x:xf numFmtId="0" fontId="6" fillId="0" borderId="1" xfId="0" applyFont="1" applyBorder="1"/>
    <x:xf numFmtId="164" fontId="7" fillId="0" borderId="1" xfId="0" applyNumberFormat="1" applyFont="1" applyBorder="1" applyAlignment="1">
      <x:alignment horizontal="center"/>
    </x:xf>
    <x:xf numFmtId="0" fontId="8" fillId="0" borderId="1" xfId="0" applyFont="1" applyBorder="1"/>
    <x:xf numFmtId="0" fontId="8" fillId="0" borderId="0" xfId="0" applyFont="1"/>
    <x:xf numFmtId="0" fontId="9" fillId="0" borderId="0" xfId="0" applyFont="1"/>
    <x:xf numFmtId="0" fontId="7" fillId="0" borderId="1" xfId="0" applyFont="1" applyBorder="1" applyAlignment="1">
      <x:alignment horizontal="center"/>
    </x:xf>
    <x:xf numFmtId="0" fontId="7" fillId="0" borderId="1" xfId="0" applyFont="1" applyBorder="1"/>
    <x:xf numFmtId="164" fontId="6" fillId="0" borderId="1" xfId="0" applyNumberFormat="1" applyFont="1" applyBorder="1"/>
    <x:xf numFmtId="165" fontId="10" fillId="0" borderId="1" xfId="0" applyNumberFormat="1" applyFont="1" applyBorder="1"/>
    <x:xf numFmtId="165" fontId="6" fillId="0" borderId="1" xfId="0" applyNumberFormat="1" applyFont="1" applyBorder="1"/>
    <x:xf numFmtId="0" fontId="11" fillId="0" borderId="1" xfId="0" applyFont="1" applyBorder="1"/>
    <x:xf numFmtId="165" fontId="7" fillId="4" borderId="1" xfId="0" applyNumberFormat="1" applyFont="1" applyFill="1" applyBorder="1"/>
    <x:xf numFmtId="0" fontId="12" fillId="0" borderId="0" xfId="0" applyFont="1"/>
    <x:xf numFmtId="0" fontId="13" fillId="0" borderId="0" xfId="0" applyFont="1"/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6E4F0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ab0cf3f7e41d2" /><Relationship Type="http://schemas.openxmlformats.org/officeDocument/2006/relationships/theme" Target="/xl/theme/theme1.xml" Id="R19baa8e26ff2424b" /><Relationship Type="http://schemas.openxmlformats.org/officeDocument/2006/relationships/sharedStrings" Target="/xl/sharedStrings.xml" Id="Rbb9e905872f9400b" /><Relationship Type="http://schemas.openxmlformats.org/officeDocument/2006/relationships/worksheet" Target="/xl/worksheets/sheet1.xml" Id="Red407392669f452d" /><Relationship Type="http://schemas.openxmlformats.org/officeDocument/2006/relationships/worksheet" Target="/xl/worksheets/sheet2.xml" Id="R5b694f347caa4fd8" /><Relationship Type="http://schemas.openxmlformats.org/officeDocument/2006/relationships/worksheet" Target="/xl/worksheets/sheet3.xml" Id="R225e61fdedb6424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workbookViewId="0">
      <x:pane xSplit="4" ySplit="9" topLeftCell="E10" activePane="bottomRight" state="frozen"/>
    </x:sheetView>
  </x:sheetViews>
  <x:sheetFormatPr defaultColWidth="8.6640625" defaultRowHeight="14.25"/>
  <x:cols>
    <x:col min="1" max="1" width="8" customWidth="1"/>
    <x:col min="2" max="2" width="22" customWidth="1"/>
    <x:col min="3" max="3" width="42" customWidth="1"/>
    <x:col min="4" max="4" width="8" customWidth="1"/>
    <x:col min="5" max="12" width="12" customWidth="1"/>
    <x:col min="13" max="13" width="14" customWidth="1"/>
    <x:col min="14" max="14" width="32" customWidth="1"/>
  </x:cols>
  <x:sheetData>
    <x:row r="1" ht="17.649999618530273">
      <x:c r="A1" s="1" t="str">
        <x:v>MÉLYÉPÍTÉSI MENNYISÉGFELVÉTEL</x:v>
      </x:c>
    </x:row>
    <x:row r="3">
      <x:c r="A3" s="2" t="str">
        <x:v>Projekt:</x:v>
      </x:c>
    </x:row>
    <x:row r="4">
      <x:c r="A4" s="2" t="str">
        <x:v>Megrendelő:</x:v>
      </x:c>
    </x:row>
    <x:row r="5">
      <x:c r="A5" s="2" t="str">
        <x:v>Dátum:</x:v>
      </x:c>
    </x:row>
    <x:row r="6">
      <x:c r="A6" s="2" t="str">
        <x:v>Készítette:</x:v>
      </x:c>
    </x:row>
    <x:row r="8" ht="31.5" customHeight="1">
      <x:c r="A8" s="3" t="str">
        <x:v>Tétel-
azonosító</x:v>
      </x:c>
      <x:c r="B8" s="3" t="str">
        <x:v>Kategória</x:v>
      </x:c>
      <x:c r="C8" s="3" t="str">
        <x:v>Megnevezés / műszaki leírás</x:v>
      </x:c>
      <x:c r="D8" s="3" t="str">
        <x:v>Mértékegység</x:v>
      </x:c>
      <x:c r="E8" s="3" t="str">
        <x:v>Terv 1</x:v>
      </x:c>
      <x:c r="F8" s="3" t="str">
        <x:v>Terv 2</x:v>
      </x:c>
      <x:c r="G8" s="3" t="str">
        <x:v>Terv 3</x:v>
      </x:c>
      <x:c r="H8" s="3" t="str">
        <x:v>Terv 4</x:v>
      </x:c>
      <x:c r="I8" s="3" t="str">
        <x:v>Terv 5</x:v>
      </x:c>
      <x:c r="J8" s="3" t="str">
        <x:v>Terv 6</x:v>
      </x:c>
      <x:c r="K8" s="3" t="str">
        <x:v>Terv 7</x:v>
      </x:c>
      <x:c r="L8" s="3" t="str">
        <x:v>Terv 8</x:v>
      </x:c>
      <x:c r="M8" s="3" t="s">
        <x:v>0</x:v>
      </x:c>
      <x:c r="N8" s="3" t="str">
        <x:v>Megjegyzés</x:v>
      </x:c>
    </x:row>
    <x:row r="9">
      <x:c r="E9" s="4" t="str">
        <x:v>Tervszám</x:v>
      </x:c>
      <x:c r="F9" s="4" t="str">
        <x:v>Tervszám</x:v>
      </x:c>
      <x:c r="G9" s="4" t="str">
        <x:v>Tervszám</x:v>
      </x:c>
      <x:c r="H9" s="4" t="str">
        <x:v>Tervszám</x:v>
      </x:c>
      <x:c r="I9" s="4" t="str">
        <x:v>Tervszám</x:v>
      </x:c>
      <x:c r="J9" s="4" t="str">
        <x:v>Tervszám</x:v>
      </x:c>
      <x:c r="K9" s="4" t="str">
        <x:v>Tervszám</x:v>
      </x:c>
      <x:c r="L9" s="4" t="str">
        <x:v>Tervszám</x:v>
      </x:c>
    </x:row>
    <x:row r="10">
      <x:c r="A10" s="5"/>
      <x:c r="B10" s="6" t="str">
        <x:v>FÖLDMUNKÁK</x:v>
      </x:c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</x:row>
    <x:row r="11">
      <x:c r="A11" s="7">
        <x:v>1.1000000000000001</x:v>
      </x:c>
      <x:c r="B11" s="8"/>
      <x:c r="C11" s="9" t="str">
        <x:v>humuszleszedés és depózás</x:v>
      </x:c>
      <x:c r="D11" s="7" t="s">
        <x:v>1</x:v>
      </x:c>
      <x:c r="E11" s="8"/>
      <x:c r="F11" s="8"/>
      <x:c r="G11" s="8"/>
      <x:c r="H11" s="8"/>
      <x:c r="I11" s="8"/>
      <x:c r="J11" s="8"/>
      <x:c r="K11" s="8"/>
      <x:c r="L11" s="8"/>
      <x:c r="M11" s="10" t="n">
        <x:f t="shared" ref="M11:M27" si="0">SUM(E11:L11)</x:f>
        <x:v>0</x:v>
      </x:c>
      <x:c r="N11" s="11" t="str">
        <x:v>a mélység változó — zónánként geotechnikai ellenőrzés szükséges</x:v>
      </x:c>
    </x:row>
    <x:row r="12">
      <x:c r="A12" s="7">
        <x:v>1.2</x:v>
      </x:c>
      <x:c r="B12" s="8"/>
      <x:c r="C12" s="9" t="str">
        <x:v>Tömeges földkiemelés feltöltéshez (természetes térfogat)</x:v>
      </x:c>
      <x:c r="D12" s="7" t="s">
        <x:v>1</x:v>
      </x:c>
      <x:c r="E12" s="8"/>
      <x:c r="F12" s="8"/>
      <x:c r="G12" s="8"/>
      <x:c r="H12" s="8"/>
      <x:c r="I12" s="8"/>
      <x:c r="J12" s="8"/>
      <x:c r="K12" s="8"/>
      <x:c r="L12" s="8"/>
      <x:c r="M12" s="10">
        <x:f t="shared" si="0"/>
        <x:v>0</x:v>
      </x:c>
      <x:c r="N12" s="11" t="str">
        <x:v>From tömeges földszállítás. lazulási tényezőt alkalmazni kell for elszállítás lerakóhelyre</x:v>
      </x:c>
    </x:row>
    <x:row r="13">
      <x:c r="A13" s="7">
        <x:v>1.3</x:v>
      </x:c>
      <x:c r="B13" s="8"/>
      <x:c r="C13" s="9" t="str">
        <x:v>tömeges feltöltés – beszállított anyag (tömörített)</x:v>
      </x:c>
      <x:c r="D13" s="7" t="s">
        <x:v>1</x:v>
      </x:c>
      <x:c r="E13" s="8"/>
      <x:c r="F13" s="8"/>
      <x:c r="G13" s="8"/>
      <x:c r="H13" s="8"/>
      <x:c r="I13" s="8"/>
      <x:c r="J13" s="8"/>
      <x:c r="K13" s="8"/>
      <x:c r="L13" s="8"/>
      <x:c r="M13" s="10">
        <x:f t="shared" si="0"/>
        <x:v>0</x:v>
      </x:c>
      <x:c r="N13" s="11" t="str">
        <x:v>feltöltési anyagosztály meghatározandó. lazult térfogat szerint rendelni</x:v>
      </x:c>
    </x:row>
    <x:row r="14">
      <x:c r="A14" s="7">
        <x:v>1.4</x:v>
      </x:c>
      <x:c r="B14" s="8"/>
      <x:c r="C14" s="9" t="str">
        <x:v>tömeges feltöltés – helyszínen nyert anyag (tömörített)</x:v>
      </x:c>
      <x:c r="D14" s="7" t="s">
        <x:v>1</x:v>
      </x:c>
      <x:c r="E14" s="8"/>
      <x:c r="F14" s="8"/>
      <x:c r="G14" s="8"/>
      <x:c r="H14" s="8"/>
      <x:c r="I14" s="8"/>
      <x:c r="J14" s="8"/>
      <x:c r="K14" s="8"/>
      <x:c r="L14" s="8"/>
      <x:c r="M14" s="10">
        <x:f t="shared" si="0"/>
        <x:v>0</x:v>
      </x:c>
      <x:c r="N14" s="11" t="str">
        <x:v>tömörödési/zsugorodási tényezőt alkalmazni kell (tömörített &lt; bank)</x:v>
      </x:c>
    </x:row>
    <x:row r="15">
      <x:c r="A15" s="7">
        <x:v>1.5</x:v>
      </x:c>
      <x:c r="B15" s="8"/>
      <x:c r="C15" s="9" t="str">
        <x:v>nem megfelelő anyag eltávolítása</x:v>
      </x:c>
      <x:c r="D15" s="7" t="s">
        <x:v>1</x:v>
      </x:c>
      <x:c r="E15" s="8"/>
      <x:c r="F15" s="8"/>
      <x:c r="G15" s="8"/>
      <x:c r="H15" s="8"/>
      <x:c r="I15" s="8"/>
      <x:c r="J15" s="8"/>
      <x:c r="K15" s="8"/>
      <x:c r="L15" s="8"/>
      <x:c r="M15" s="10">
        <x:f t="shared" si="0"/>
        <x:v>0</x:v>
      </x:c>
      <x:c r="N15" s="11" t="str">
        <x:v>From geotechnika. kétszeri anyagmozgatás: eltávolítás + csere / visszaépítés</x:v>
      </x:c>
    </x:row>
    <x:row r="16">
      <x:c r="A16" s="7">
        <x:v>1.6</x:v>
      </x:c>
      <x:c r="B16" s="8"/>
      <x:c r="C16" s="9" t="str">
        <x:v>nem megfelelő anyag elhelyezése (elszállított)</x:v>
      </x:c>
      <x:c r="D16" s="7" t="s">
        <x:v>1</x:v>
      </x:c>
      <x:c r="E16" s="8"/>
      <x:c r="F16" s="8"/>
      <x:c r="G16" s="8"/>
      <x:c r="H16" s="8"/>
      <x:c r="I16" s="8"/>
      <x:c r="J16" s="8"/>
      <x:c r="K16" s="8"/>
      <x:c r="L16" s="8"/>
      <x:c r="M16" s="10">
        <x:f t="shared" si="0"/>
        <x:v>0</x:v>
      </x:c>
      <x:c r="N16" s="11" t="str">
        <x:v>lazult térfogat × szállítás distance. lerakási díjak külön kezelendő</x:v>
      </x:c>
    </x:row>
    <x:row r="17">
      <x:c r="A17" s="7">
        <x:v>1.7</x:v>
      </x:c>
      <x:c r="B17" s="8"/>
      <x:c r="C17" s="9" t="str">
        <x:v>sziklafejtés / bontás / törés</x:v>
      </x:c>
      <x:c r="D17" s="7" t="s">
        <x:v>1</x:v>
      </x:c>
      <x:c r="E17" s="8"/>
      <x:c r="F17" s="8"/>
      <x:c r="G17" s="8"/>
      <x:c r="H17" s="8"/>
      <x:c r="I17" s="8"/>
      <x:c r="J17" s="8"/>
      <x:c r="K17" s="8"/>
      <x:c r="L17" s="8"/>
      <x:c r="M17" s="10">
        <x:f t="shared" si="0"/>
        <x:v>0</x:v>
      </x:c>
      <x:c r="N17" s="11" t="str">
        <x:v>természetes térfogat. Bulking 40-60%</x:v>
      </x:c>
    </x:row>
    <x:row r="18">
      <x:c r="A18" s="7">
        <x:v>1.8</x:v>
      </x:c>
      <x:c r="B18" s="8"/>
      <x:c r="C18" s="9" t="str">
        <x:v>Munkaárok kiemelés - közművek</x:v>
      </x:c>
      <x:c r="D18" s="7" t="s">
        <x:v>1</x:v>
      </x:c>
      <x:c r="E18" s="8"/>
      <x:c r="F18" s="8"/>
      <x:c r="G18" s="8"/>
      <x:c r="H18" s="8"/>
      <x:c r="I18" s="8"/>
      <x:c r="J18" s="8"/>
      <x:c r="K18" s="8"/>
      <x:c r="L18" s="8"/>
      <x:c r="M18" s="10">
        <x:f t="shared" si="0"/>
        <x:v>0</x:v>
      </x:c>
      <x:c r="N18" s="11" t="str">
        <x:v>szélesség varies mélység. Include batter volume</x:v>
      </x:c>
    </x:row>
    <x:row r="19">
      <x:c r="A19" s="7">
        <x:v>1.9</x:v>
      </x:c>
      <x:c r="B19" s="8"/>
      <x:c r="C19" s="9" t="str">
        <x:v>munkaárok visszatöltés – beszállított</x:v>
      </x:c>
      <x:c r="D19" s="7" t="s">
        <x:v>1</x:v>
      </x:c>
      <x:c r="E19" s="8"/>
      <x:c r="F19" s="8"/>
      <x:c r="G19" s="8"/>
      <x:c r="H19" s="8"/>
      <x:c r="I19" s="8"/>
      <x:c r="J19" s="8"/>
      <x:c r="K19" s="8"/>
      <x:c r="L19" s="8"/>
      <x:c r="M19" s="10">
        <x:f t="shared" si="0"/>
        <x:v>0</x:v>
      </x:c>
      <x:c r="N19" s="11" t="str">
        <x:v>csőzóna + általános visszatöltés as külön kezelendő items</x:v>
      </x:c>
    </x:row>
    <x:row r="20">
      <x:c r="A20" s="7" t="s">
        <x:v>2</x:v>
      </x:c>
      <x:c r="B20" s="8"/>
      <x:c r="C20" s="9" t="str">
        <x:v>munkaárok visszatöltés – helyszínen nyert</x:v>
      </x:c>
      <x:c r="D20" s="7" t="s">
        <x:v>1</x:v>
      </x:c>
      <x:c r="E20" s="8"/>
      <x:c r="F20" s="8"/>
      <x:c r="G20" s="8"/>
      <x:c r="H20" s="8"/>
      <x:c r="I20" s="8"/>
      <x:c r="J20" s="8"/>
      <x:c r="K20" s="8"/>
      <x:c r="L20" s="8"/>
      <x:c r="M20" s="10">
        <x:f t="shared" si="0"/>
        <x:v>0</x:v>
      </x:c>
      <x:c r="N20" s="8"/>
    </x:row>
    <x:row r="21">
      <x:c r="A21" s="7" t="s">
        <x:v>3</x:v>
      </x:c>
      <x:c r="B21" s="8"/>
      <x:c r="C21" s="9" t="str">
        <x:v>Tömörítés - általános feltöltés (rétegenként)</x:v>
      </x:c>
      <x:c r="D21" s="7" t="s">
        <x:v>4</x:v>
      </x:c>
      <x:c r="E21" s="8"/>
      <x:c r="F21" s="8"/>
      <x:c r="G21" s="8"/>
      <x:c r="H21" s="8"/>
      <x:c r="I21" s="8"/>
      <x:c r="J21" s="8"/>
      <x:c r="K21" s="8"/>
      <x:c r="L21" s="8"/>
      <x:c r="M21" s="10">
        <x:f t="shared" si="0"/>
        <x:v>0</x:v>
      </x:c>
      <x:c r="N21" s="11" t="s">
        <x:v>5</x:v>
      </x:c>
    </x:row>
    <x:row r="22">
      <x:c r="A22" s="7" t="s">
        <x:v>6</x:v>
      </x:c>
      <x:c r="B22" s="8"/>
      <x:c r="C22" s="9" t="str">
        <x:v>tömörítés – válogatott feltöltés / földmű tükör</x:v>
      </x:c>
      <x:c r="D22" s="7" t="s">
        <x:v>4</x:v>
      </x:c>
      <x:c r="E22" s="8"/>
      <x:c r="F22" s="8"/>
      <x:c r="G22" s="8"/>
      <x:c r="H22" s="8"/>
      <x:c r="I22" s="8"/>
      <x:c r="J22" s="8"/>
      <x:c r="K22" s="8"/>
      <x:c r="L22" s="8"/>
      <x:c r="M22" s="10">
        <x:f t="shared" si="0"/>
        <x:v>0</x:v>
      </x:c>
      <x:c r="N22" s="11" t="s">
        <x:v>7</x:v>
      </x:c>
    </x:row>
    <x:row r="23">
      <x:c r="A23" s="7" t="s">
        <x:v>8</x:v>
      </x:c>
      <x:c r="B23" s="8"/>
      <x:c r="C23" s="9" t="str">
        <x:v>rézsűrendezés és tömörítés</x:v>
      </x:c>
      <x:c r="D23" s="7" t="s">
        <x:v>4</x:v>
      </x:c>
      <x:c r="E23" s="8"/>
      <x:c r="F23" s="8"/>
      <x:c r="G23" s="8"/>
      <x:c r="H23" s="8"/>
      <x:c r="I23" s="8"/>
      <x:c r="J23" s="8"/>
      <x:c r="K23" s="8"/>
      <x:c r="L23" s="8"/>
      <x:c r="M23" s="10">
        <x:f t="shared" si="0"/>
        <x:v>0</x:v>
      </x:c>
      <x:c r="N23" s="11" t="str">
        <x:v>Measure batter felület area, not plan area</x:v>
      </x:c>
    </x:row>
    <x:row r="24">
      <x:c r="A24" s="7" t="s">
        <x:v>9</x:v>
      </x:c>
      <x:c r="B24" s="8"/>
      <x:c r="C24" s="9" t="str">
        <x:v>Lépcsőzés feltöltéshez rézsűn</x:v>
      </x:c>
      <x:c r="D24" s="7" t="s">
        <x:v>1</x:v>
      </x:c>
      <x:c r="E24" s="8"/>
      <x:c r="F24" s="8"/>
      <x:c r="G24" s="8"/>
      <x:c r="H24" s="8"/>
      <x:c r="I24" s="8"/>
      <x:c r="J24" s="8"/>
      <x:c r="K24" s="8"/>
      <x:c r="L24" s="8"/>
      <x:c r="M24" s="10">
        <x:f t="shared" si="0"/>
        <x:v>0</x:v>
      </x:c>
      <x:c r="N24" s="11" t="str">
        <x:v>szükséges where feltöltés placed rétegen rézsűk &gt;1:5</x:v>
      </x:c>
    </x:row>
    <x:row r="25">
      <x:c r="A25" s="7" t="s">
        <x:v>10</x:v>
      </x:c>
      <x:c r="B25" s="8"/>
      <x:c r="C25" s="9" t="s">
        <x:v>11</x:v>
      </x:c>
      <x:c r="D25" s="7" t="s">
        <x:v>4</x:v>
      </x:c>
      <x:c r="E25" s="8"/>
      <x:c r="F25" s="8"/>
      <x:c r="G25" s="8"/>
      <x:c r="H25" s="8"/>
      <x:c r="I25" s="8"/>
      <x:c r="J25" s="8"/>
      <x:c r="K25" s="8"/>
      <x:c r="L25" s="8"/>
      <x:c r="M25" s="10">
        <x:f t="shared" si="0"/>
        <x:v>0</x:v>
      </x:c>
      <x:c r="N25" s="11" t="s">
        <x:v>12</x:v>
      </x:c>
    </x:row>
    <x:row r="26">
      <x:c r="A26" s="7" t="s">
        <x:v>13</x:v>
      </x:c>
      <x:c r="B26" s="8"/>
      <x:c r="C26" s="9" t="str">
        <x:v>Proof rolling / földmű tükör prep</x:v>
      </x:c>
      <x:c r="D26" s="7" t="s">
        <x:v>4</x:v>
      </x:c>
      <x:c r="E26" s="8"/>
      <x:c r="F26" s="8"/>
      <x:c r="G26" s="8"/>
      <x:c r="H26" s="8"/>
      <x:c r="I26" s="8"/>
      <x:c r="J26" s="8"/>
      <x:c r="K26" s="8"/>
      <x:c r="L26" s="8"/>
      <x:c r="M26" s="10">
        <x:f t="shared" si="0"/>
        <x:v>0</x:v>
      </x:c>
      <x:c r="N26" s="8"/>
    </x:row>
    <x:row r="27">
      <x:c r="A27" s="7" t="s">
        <x:v>14</x:v>
      </x:c>
      <x:c r="B27" s="8"/>
      <x:c r="C27" s="9" t="s">
        <x:v>15</x:v>
      </x:c>
      <x:c r="D27" s="7" t="s">
        <x:v>4</x:v>
      </x:c>
      <x:c r="E27" s="8"/>
      <x:c r="F27" s="8"/>
      <x:c r="G27" s="8"/>
      <x:c r="H27" s="8"/>
      <x:c r="I27" s="8"/>
      <x:c r="J27" s="8"/>
      <x:c r="K27" s="8"/>
      <x:c r="L27" s="8"/>
      <x:c r="M27" s="10">
        <x:f t="shared" si="0"/>
        <x:v>0</x:v>
      </x:c>
      <x:c r="N27" s="11" t="str">
        <x:v>If földmű tükör CBR nem megfelelő</x:v>
      </x:c>
    </x:row>
    <x:row r="28">
      <x:c r="A28" s="5"/>
      <x:c r="B28" s="6" t="str">
        <x:v>ÚTPÁLYASZERKEZET</x:v>
      </x:c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</x:row>
    <x:row r="29">
      <x:c r="A29" s="7">
        <x:v>2.1</x:v>
      </x:c>
      <x:c r="B29" s="8"/>
      <x:c r="C29" s="9" t="str">
        <x:v>földmű tükör preparation / trimming</x:v>
      </x:c>
      <x:c r="D29" s="7" t="s">
        <x:v>4</x:v>
      </x:c>
      <x:c r="E29" s="8"/>
      <x:c r="F29" s="8"/>
      <x:c r="G29" s="8"/>
      <x:c r="H29" s="8"/>
      <x:c r="I29" s="8"/>
      <x:c r="J29" s="8"/>
      <x:c r="K29" s="8"/>
      <x:c r="L29" s="8"/>
      <x:c r="M29" s="10" t="n">
        <x:f t="shared" ref="M29:M47" si="1">SUM(E29:L29)</x:f>
        <x:v>0</x:v>
      </x:c>
      <x:c r="N29" s="11" t="str">
        <x:v>Include tapers és intersection widening</x:v>
      </x:c>
    </x:row>
    <x:row r="30">
      <x:c r="A30" s="7">
        <x:v>2.2000000000000002</x:v>
      </x:c>
      <x:c r="B30" s="8"/>
      <x:c r="C30" s="9" t="str">
        <x:v>ágyazati réteg – type 2.3 (mélység: ___mm)</x:v>
      </x:c>
      <x:c r="D30" s="7" t="s">
        <x:v>1</x:v>
      </x:c>
      <x:c r="E30" s="8"/>
      <x:c r="F30" s="8"/>
      <x:c r="G30" s="8"/>
      <x:c r="H30" s="8"/>
      <x:c r="I30" s="8"/>
      <x:c r="J30" s="8"/>
      <x:c r="K30" s="8"/>
      <x:c r="L30" s="8"/>
      <x:c r="M30" s="10">
        <x:f t="shared" si="1"/>
        <x:v>0</x:v>
      </x:c>
      <x:c r="N30" s="11" t="str">
        <x:v>Specify anyagosztály</x:v>
      </x:c>
    </x:row>
    <x:row r="31">
      <x:c r="A31" s="7">
        <x:v>2.2999999999999998</x:v>
      </x:c>
      <x:c r="B31" s="8"/>
      <x:c r="C31" s="9" t="str">
        <x:v>Base course – type 2.1 (mélység: ___mm)</x:v>
      </x:c>
      <x:c r="D31" s="7" t="s">
        <x:v>1</x:v>
      </x:c>
      <x:c r="E31" s="8"/>
      <x:c r="F31" s="8"/>
      <x:c r="G31" s="8"/>
      <x:c r="H31" s="8"/>
      <x:c r="I31" s="8"/>
      <x:c r="J31" s="8"/>
      <x:c r="K31" s="8"/>
      <x:c r="L31" s="8"/>
      <x:c r="M31" s="10">
        <x:f t="shared" si="1"/>
        <x:v>0</x:v>
      </x:c>
      <x:c r="N31" s="8"/>
    </x:row>
    <x:row r="32">
      <x:c r="A32" s="7">
        <x:v>2.4</x:v>
      </x:c>
      <x:c r="B32" s="8"/>
      <x:c r="C32" s="9" t="str">
        <x:v>Wearing course – type 2.1 (mélység: ___mm)</x:v>
      </x:c>
      <x:c r="D32" s="7" t="s">
        <x:v>1</x:v>
      </x:c>
      <x:c r="E32" s="8"/>
      <x:c r="F32" s="8"/>
      <x:c r="G32" s="8"/>
      <x:c r="H32" s="8"/>
      <x:c r="I32" s="8"/>
      <x:c r="J32" s="8"/>
      <x:c r="K32" s="8"/>
      <x:c r="L32" s="8"/>
      <x:c r="M32" s="10">
        <x:f t="shared" si="1"/>
        <x:v>0</x:v>
      </x:c>
      <x:c r="N32" s="8"/>
    </x:row>
    <x:row r="33">
      <x:c r="A33" s="7">
        <x:v>2.5</x:v>
      </x:c>
      <x:c r="B33" s="8"/>
      <x:c r="C33" s="9" t="str">
        <x:v>aszfalt – base course (mélység: ___mm)</x:v>
      </x:c>
      <x:c r="D33" s="7" t="str">
        <x:v>t</x:v>
      </x:c>
      <x:c r="E33" s="8"/>
      <x:c r="F33" s="8"/>
      <x:c r="G33" s="8"/>
      <x:c r="H33" s="8"/>
      <x:c r="I33" s="8"/>
      <x:c r="J33" s="8"/>
      <x:c r="K33" s="8"/>
      <x:c r="L33" s="8"/>
      <x:c r="M33" s="10">
        <x:f t="shared" si="1"/>
        <x:v>0</x:v>
      </x:c>
      <x:c r="N33" s="11" t="s">
        <x:v>16</x:v>
      </x:c>
    </x:row>
    <x:row r="34">
      <x:c r="A34" s="7">
        <x:v>2.6</x:v>
      </x:c>
      <x:c r="B34" s="8"/>
      <x:c r="C34" s="9" t="str">
        <x:v>aszfalt – wearing course (mélység: ___mm)</x:v>
      </x:c>
      <x:c r="D34" s="7" t="str">
        <x:v>t</x:v>
      </x:c>
      <x:c r="E34" s="8"/>
      <x:c r="F34" s="8"/>
      <x:c r="G34" s="8"/>
      <x:c r="H34" s="8"/>
      <x:c r="I34" s="8"/>
      <x:c r="J34" s="8"/>
      <x:c r="K34" s="8"/>
      <x:c r="L34" s="8"/>
      <x:c r="M34" s="10">
        <x:f t="shared" si="1"/>
        <x:v>0</x:v>
      </x:c>
      <x:c r="N34" s="11" t="s">
        <x:v>17</x:v>
      </x:c>
    </x:row>
    <x:row r="35">
      <x:c r="A35" s="7">
        <x:v>2.7</x:v>
      </x:c>
      <x:c r="B35" s="8"/>
      <x:c r="C35" s="9" t="s">
        <x:v>18</x:v>
      </x:c>
      <x:c r="D35" s="7" t="s">
        <x:v>4</x:v>
      </x:c>
      <x:c r="E35" s="8"/>
      <x:c r="F35" s="8"/>
      <x:c r="G35" s="8"/>
      <x:c r="H35" s="8"/>
      <x:c r="I35" s="8"/>
      <x:c r="J35" s="8"/>
      <x:c r="K35" s="8"/>
      <x:c r="L35" s="8"/>
      <x:c r="M35" s="10">
        <x:f t="shared" si="1"/>
        <x:v>0</x:v>
      </x:c>
      <x:c r="N35" s="8"/>
    </x:row>
    <x:row r="36">
      <x:c r="A36" s="7">
        <x:v>2.8</x:v>
      </x:c>
      <x:c r="B36" s="8"/>
      <x:c r="C36" s="9" t="s">
        <x:v>19</x:v>
      </x:c>
      <x:c r="D36" s="7" t="s">
        <x:v>4</x:v>
      </x:c>
      <x:c r="E36" s="8"/>
      <x:c r="F36" s="8"/>
      <x:c r="G36" s="8"/>
      <x:c r="H36" s="8"/>
      <x:c r="I36" s="8"/>
      <x:c r="J36" s="8"/>
      <x:c r="K36" s="8"/>
      <x:c r="L36" s="8"/>
      <x:c r="M36" s="10">
        <x:f t="shared" si="1"/>
        <x:v>0</x:v>
      </x:c>
      <x:c r="N36" s="8"/>
    </x:row>
    <x:row r="37">
      <x:c r="A37" s="7">
        <x:v>2.9</x:v>
      </x:c>
      <x:c r="B37" s="8"/>
      <x:c r="C37" s="9" t="s">
        <x:v>20</x:v>
      </x:c>
      <x:c r="D37" s="7" t="s">
        <x:v>4</x:v>
      </x:c>
      <x:c r="E37" s="8"/>
      <x:c r="F37" s="8"/>
      <x:c r="G37" s="8"/>
      <x:c r="H37" s="8"/>
      <x:c r="I37" s="8"/>
      <x:c r="J37" s="8"/>
      <x:c r="K37" s="8"/>
      <x:c r="L37" s="8"/>
      <x:c r="M37" s="10">
        <x:f t="shared" si="1"/>
        <x:v>0</x:v>
      </x:c>
      <x:c r="N37" s="11" t="str">
        <x:v>Generates waste — külön kezelendő disposal qty</x:v>
      </x:c>
    </x:row>
    <x:row r="38">
      <x:c r="A38" s="7" t="s">
        <x:v>21</x:v>
      </x:c>
      <x:c r="B38" s="8"/>
      <x:c r="C38" s="9" t="s">
        <x:v>22</x:v>
      </x:c>
      <x:c r="D38" s="7" t="str">
        <x:v>t</x:v>
      </x:c>
      <x:c r="E38" s="8"/>
      <x:c r="F38" s="8"/>
      <x:c r="G38" s="8"/>
      <x:c r="H38" s="8"/>
      <x:c r="I38" s="8"/>
      <x:c r="J38" s="8"/>
      <x:c r="K38" s="8"/>
      <x:c r="L38" s="8"/>
      <x:c r="M38" s="10">
        <x:f t="shared" si="1"/>
        <x:v>0</x:v>
      </x:c>
      <x:c r="N38" s="11" t="str">
        <x:v>lazult térfogat from profiling mélység × area</x:v>
      </x:c>
    </x:row>
    <x:row r="39">
      <x:c r="A39" s="7" t="s">
        <x:v>23</x:v>
      </x:c>
      <x:c r="B39" s="8"/>
      <x:c r="C39" s="9" t="s">
        <x:v>24</x:v>
      </x:c>
      <x:c r="D39" s="7" t="s">
        <x:v>4</x:v>
      </x:c>
      <x:c r="E39" s="8"/>
      <x:c r="F39" s="8"/>
      <x:c r="G39" s="8"/>
      <x:c r="H39" s="8"/>
      <x:c r="I39" s="8"/>
      <x:c r="J39" s="8"/>
      <x:c r="K39" s="8"/>
      <x:c r="L39" s="8"/>
      <x:c r="M39" s="10">
        <x:f t="shared" si="1"/>
        <x:v>0</x:v>
      </x:c>
      <x:c r="N39" s="8"/>
    </x:row>
    <x:row r="40">
      <x:c r="A40" s="7" t="s">
        <x:v>25</x:v>
      </x:c>
      <x:c r="B40" s="8"/>
      <x:c r="C40" s="9" t="str">
        <x:v>szegély és gutter – barrier type</x:v>
      </x:c>
      <x:c r="D40" s="7" t="str">
        <x:v>fm</x:v>
      </x:c>
      <x:c r="E40" s="8"/>
      <x:c r="F40" s="8"/>
      <x:c r="G40" s="8"/>
      <x:c r="H40" s="8"/>
      <x:c r="I40" s="8"/>
      <x:c r="J40" s="8"/>
      <x:c r="K40" s="8"/>
      <x:c r="L40" s="8"/>
      <x:c r="M40" s="10">
        <x:f t="shared" si="1"/>
        <x:v>0</x:v>
      </x:c>
      <x:c r="N40" s="8"/>
    </x:row>
    <x:row r="41">
      <x:c r="A41" s="7" t="s">
        <x:v>26</x:v>
      </x:c>
      <x:c r="B41" s="8"/>
      <x:c r="C41" s="9" t="str">
        <x:v>szegély és gutter – mountable type</x:v>
      </x:c>
      <x:c r="D41" s="7" t="str">
        <x:v>fm</x:v>
      </x:c>
      <x:c r="E41" s="8"/>
      <x:c r="F41" s="8"/>
      <x:c r="G41" s="8"/>
      <x:c r="H41" s="8"/>
      <x:c r="I41" s="8"/>
      <x:c r="J41" s="8"/>
      <x:c r="K41" s="8"/>
      <x:c r="L41" s="8"/>
      <x:c r="M41" s="10">
        <x:f t="shared" si="1"/>
        <x:v>0</x:v>
      </x:c>
      <x:c r="N41" s="8"/>
    </x:row>
    <x:row r="42">
      <x:c r="A42" s="7" t="s">
        <x:v>27</x:v>
      </x:c>
      <x:c r="B42" s="8"/>
      <x:c r="C42" s="9" t="str">
        <x:v>szegély és gutter – semi-mountable</x:v>
      </x:c>
      <x:c r="D42" s="7" t="str">
        <x:v>fm</x:v>
      </x:c>
      <x:c r="E42" s="8"/>
      <x:c r="F42" s="8"/>
      <x:c r="G42" s="8"/>
      <x:c r="H42" s="8"/>
      <x:c r="I42" s="8"/>
      <x:c r="J42" s="8"/>
      <x:c r="K42" s="8"/>
      <x:c r="L42" s="8"/>
      <x:c r="M42" s="10">
        <x:f t="shared" si="1"/>
        <x:v>0</x:v>
      </x:c>
      <x:c r="N42" s="8"/>
    </x:row>
    <x:row r="43">
      <x:c r="A43" s="7" t="s">
        <x:v>28</x:v>
      </x:c>
      <x:c r="B43" s="8"/>
      <x:c r="C43" s="9" t="s">
        <x:v>29</x:v>
      </x:c>
      <x:c r="D43" s="7" t="str">
        <x:v>fm</x:v>
      </x:c>
      <x:c r="E43" s="8"/>
      <x:c r="F43" s="8"/>
      <x:c r="G43" s="8"/>
      <x:c r="H43" s="8"/>
      <x:c r="I43" s="8"/>
      <x:c r="J43" s="8"/>
      <x:c r="K43" s="8"/>
      <x:c r="L43" s="8"/>
      <x:c r="M43" s="10">
        <x:f t="shared" si="1"/>
        <x:v>0</x:v>
      </x:c>
      <x:c r="N43" s="8"/>
    </x:row>
    <x:row r="44">
      <x:c r="A44" s="7" t="s">
        <x:v>30</x:v>
      </x:c>
      <x:c r="B44" s="8"/>
      <x:c r="C44" s="9" t="s">
        <x:v>31</x:v>
      </x:c>
      <x:c r="D44" s="7" t="s">
        <x:v>4</x:v>
      </x:c>
      <x:c r="E44" s="8"/>
      <x:c r="F44" s="8"/>
      <x:c r="G44" s="8"/>
      <x:c r="H44" s="8"/>
      <x:c r="I44" s="8"/>
      <x:c r="J44" s="8"/>
      <x:c r="K44" s="8"/>
      <x:c r="L44" s="8"/>
      <x:c r="M44" s="10">
        <x:f t="shared" si="1"/>
        <x:v>0</x:v>
      </x:c>
      <x:c r="N44" s="8"/>
    </x:row>
    <x:row r="45">
      <x:c r="A45" s="7" t="s">
        <x:v>32</x:v>
      </x:c>
      <x:c r="B45" s="8"/>
      <x:c r="C45" s="9" t="s">
        <x:v>33</x:v>
      </x:c>
      <x:c r="D45" s="7" t="s">
        <x:v>4</x:v>
      </x:c>
      <x:c r="E45" s="8"/>
      <x:c r="F45" s="8"/>
      <x:c r="G45" s="8"/>
      <x:c r="H45" s="8"/>
      <x:c r="I45" s="8"/>
      <x:c r="J45" s="8"/>
      <x:c r="K45" s="8"/>
      <x:c r="L45" s="8"/>
      <x:c r="M45" s="10">
        <x:f t="shared" si="1"/>
        <x:v>0</x:v>
      </x:c>
      <x:c r="N45" s="8"/>
    </x:row>
    <x:row r="46">
      <x:c r="A46" s="7" t="s">
        <x:v>34</x:v>
      </x:c>
      <x:c r="B46" s="8"/>
      <x:c r="C46" s="9" t="str">
        <x:v>Expansion joints (szegély / footpath)</x:v>
      </x:c>
      <x:c r="D46" s="7" t="str">
        <x:v>fm</x:v>
      </x:c>
      <x:c r="E46" s="8"/>
      <x:c r="F46" s="8"/>
      <x:c r="G46" s="8"/>
      <x:c r="H46" s="8"/>
      <x:c r="I46" s="8"/>
      <x:c r="J46" s="8"/>
      <x:c r="K46" s="8"/>
      <x:c r="L46" s="8"/>
      <x:c r="M46" s="10">
        <x:f t="shared" si="1"/>
        <x:v>0</x:v>
      </x:c>
      <x:c r="N46" s="8"/>
    </x:row>
    <x:row r="47">
      <x:c r="A47" s="7" t="s">
        <x:v>35</x:v>
      </x:c>
      <x:c r="B47" s="8"/>
      <x:c r="C47" s="9" t="s">
        <x:v>36</x:v>
      </x:c>
      <x:c r="D47" s="7" t="str">
        <x:v>fm</x:v>
      </x:c>
      <x:c r="E47" s="8"/>
      <x:c r="F47" s="8"/>
      <x:c r="G47" s="8"/>
      <x:c r="H47" s="8"/>
      <x:c r="I47" s="8"/>
      <x:c r="J47" s="8"/>
      <x:c r="K47" s="8"/>
      <x:c r="L47" s="8"/>
      <x:c r="M47" s="10">
        <x:f t="shared" si="1"/>
        <x:v>0</x:v>
      </x:c>
      <x:c r="N47" s="8"/>
    </x:row>
    <x:row r="48">
      <x:c r="A48" s="5"/>
      <x:c r="B48" s="6" t="str">
        <x:v>VÍZELVEZETÉS ÉS CSAPADÉKVÍZ</x:v>
      </x:c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</x:row>
    <x:row r="49">
      <x:c r="A49" s="7">
        <x:v>3.1</x:v>
      </x:c>
      <x:c r="B49" s="8"/>
      <x:c r="C49" s="9" t="str">
        <x:v>csapadékvíz cső – RCP (átmérő: ___mm)</x:v>
      </x:c>
      <x:c r="D49" s="7" t="str">
        <x:v>fm</x:v>
      </x:c>
      <x:c r="E49" s="8"/>
      <x:c r="F49" s="8"/>
      <x:c r="G49" s="8"/>
      <x:c r="H49" s="8"/>
      <x:c r="I49" s="8"/>
      <x:c r="J49" s="8"/>
      <x:c r="K49" s="8"/>
      <x:c r="L49" s="8"/>
      <x:c r="M49" s="10" t="n">
        <x:f t="shared" ref="M49:M67" si="2">SUM(E49:L49)</x:f>
        <x:v>0</x:v>
      </x:c>
      <x:c r="N49" s="11" t="str">
        <x:v>Segment by mélység range</x:v>
      </x:c>
    </x:row>
    <x:row r="50">
      <x:c r="A50" s="7">
        <x:v>3.2</x:v>
      </x:c>
      <x:c r="B50" s="8"/>
      <x:c r="C50" s="9" t="str">
        <x:v>csapadékvíz cső – PVC (átmérő: ___mm)</x:v>
      </x:c>
      <x:c r="D50" s="7" t="str">
        <x:v>fm</x:v>
      </x:c>
      <x:c r="E50" s="8"/>
      <x:c r="F50" s="8"/>
      <x:c r="G50" s="8"/>
      <x:c r="H50" s="8"/>
      <x:c r="I50" s="8"/>
      <x:c r="J50" s="8"/>
      <x:c r="K50" s="8"/>
      <x:c r="L50" s="8"/>
      <x:c r="M50" s="10">
        <x:f t="shared" si="2"/>
        <x:v>0</x:v>
      </x:c>
      <x:c r="N50" s="8"/>
    </x:row>
    <x:row r="51">
      <x:c r="A51" s="7">
        <x:v>3.3</x:v>
      </x:c>
      <x:c r="B51" s="8"/>
      <x:c r="C51" s="9" t="str">
        <x:v>csapadékvíz cső – HDPE (átmérő: ___mm)</x:v>
      </x:c>
      <x:c r="D51" s="7" t="str">
        <x:v>fm</x:v>
      </x:c>
      <x:c r="E51" s="8"/>
      <x:c r="F51" s="8"/>
      <x:c r="G51" s="8"/>
      <x:c r="H51" s="8"/>
      <x:c r="I51" s="8"/>
      <x:c r="J51" s="8"/>
      <x:c r="K51" s="8"/>
      <x:c r="L51" s="8"/>
      <x:c r="M51" s="10">
        <x:f t="shared" si="2"/>
        <x:v>0</x:v>
      </x:c>
      <x:c r="N51" s="8"/>
    </x:row>
    <x:row r="52">
      <x:c r="A52" s="7">
        <x:v>3.4</x:v>
      </x:c>
      <x:c r="B52" s="8"/>
      <x:c r="C52" s="9" t="str">
        <x:v>cső ágyazat material</x:v>
      </x:c>
      <x:c r="D52" s="7" t="s">
        <x:v>1</x:v>
      </x:c>
      <x:c r="E52" s="8"/>
      <x:c r="F52" s="8"/>
      <x:c r="G52" s="8"/>
      <x:c r="H52" s="8"/>
      <x:c r="I52" s="8"/>
      <x:c r="J52" s="8"/>
      <x:c r="K52" s="8"/>
      <x:c r="L52" s="8"/>
      <x:c r="M52" s="10">
        <x:f t="shared" si="2"/>
        <x:v>0</x:v>
      </x:c>
      <x:c r="N52" s="11" t="str">
        <x:v>Derived from cső átmérő + munkaárok szélesség + bed mélység</x:v>
      </x:c>
    </x:row>
    <x:row r="53">
      <x:c r="A53" s="7">
        <x:v>3.5</x:v>
      </x:c>
      <x:c r="B53" s="8"/>
      <x:c r="C53" s="9" t="str">
        <x:v>cső megtámasztó váll / side alátámasztás / tartószerkezet material</x:v>
      </x:c>
      <x:c r="D53" s="7" t="s">
        <x:v>1</x:v>
      </x:c>
      <x:c r="E53" s="8"/>
      <x:c r="F53" s="8"/>
      <x:c r="G53" s="8"/>
      <x:c r="H53" s="8"/>
      <x:c r="I53" s="8"/>
      <x:c r="J53" s="8"/>
      <x:c r="K53" s="8"/>
      <x:c r="L53" s="8"/>
      <x:c r="M53" s="10">
        <x:f t="shared" si="2"/>
        <x:v>0</x:v>
      </x:c>
      <x:c r="N53" s="11" t="str">
        <x:v>To 300mm cső felett. beszállított szemcsés</x:v>
      </x:c>
    </x:row>
    <x:row r="54">
      <x:c r="A54" s="7">
        <x:v>3.6</x:v>
      </x:c>
      <x:c r="B54" s="8"/>
      <x:c r="C54" s="9" t="str">
        <x:v>munkaárok visszatöltés cső felett zone</x:v>
      </x:c>
      <x:c r="D54" s="7" t="s">
        <x:v>1</x:v>
      </x:c>
      <x:c r="E54" s="8"/>
      <x:c r="F54" s="8"/>
      <x:c r="G54" s="8"/>
      <x:c r="H54" s="8"/>
      <x:c r="I54" s="8"/>
      <x:c r="J54" s="8"/>
      <x:c r="K54" s="8"/>
      <x:c r="L54" s="8"/>
      <x:c r="M54" s="10">
        <x:f t="shared" si="2"/>
        <x:v>0</x:v>
      </x:c>
      <x:c r="N54" s="11" t="str">
        <x:v>Can use helyszínen nyert if alkalmas</x:v>
      </x:c>
    </x:row>
    <x:row r="55">
      <x:c r="A55" s="7">
        <x:v>3.7</x:v>
      </x:c>
      <x:c r="B55" s="8"/>
      <x:c r="C55" s="9" t="str">
        <x:v>csapadékvíz akna / csatlakozó akna</x:v>
      </x:c>
      <x:c r="D55" s="7" t="str">
        <x:v>db</x:v>
      </x:c>
      <x:c r="E55" s="8"/>
      <x:c r="F55" s="8"/>
      <x:c r="G55" s="8"/>
      <x:c r="H55" s="8"/>
      <x:c r="I55" s="8"/>
      <x:c r="J55" s="8"/>
      <x:c r="K55" s="8"/>
      <x:c r="L55" s="8"/>
      <x:c r="M55" s="10">
        <x:f t="shared" si="2"/>
        <x:v>0</x:v>
      </x:c>
      <x:c r="N55" s="11" t="str">
        <x:v>Specify méret + mélység range</x:v>
      </x:c>
    </x:row>
    <x:row r="56">
      <x:c r="A56" s="7">
        <x:v>3.8</x:v>
      </x:c>
      <x:c r="B56" s="8"/>
      <x:c r="C56" s="9" t="str">
        <x:v>rácsos víznyelő akna / víznyelő akna</x:v>
      </x:c>
      <x:c r="D56" s="7" t="str">
        <x:v>db</x:v>
      </x:c>
      <x:c r="E56" s="8"/>
      <x:c r="F56" s="8"/>
      <x:c r="G56" s="8"/>
      <x:c r="H56" s="8"/>
      <x:c r="I56" s="8"/>
      <x:c r="J56" s="8"/>
      <x:c r="K56" s="8"/>
      <x:c r="L56" s="8"/>
      <x:c r="M56" s="10">
        <x:f t="shared" si="2"/>
        <x:v>0</x:v>
      </x:c>
      <x:c r="N56" s="8"/>
    </x:row>
    <x:row r="57">
      <x:c r="A57" s="7">
        <x:v>3.9</x:v>
      </x:c>
      <x:c r="B57" s="8"/>
      <x:c r="C57" s="9" t="str">
        <x:v>Side entry akna</x:v>
      </x:c>
      <x:c r="D57" s="7" t="str">
        <x:v>db</x:v>
      </x:c>
      <x:c r="E57" s="8"/>
      <x:c r="F57" s="8"/>
      <x:c r="G57" s="8"/>
      <x:c r="H57" s="8"/>
      <x:c r="I57" s="8"/>
      <x:c r="J57" s="8"/>
      <x:c r="K57" s="8"/>
      <x:c r="L57" s="8"/>
      <x:c r="M57" s="10">
        <x:f t="shared" si="2"/>
        <x:v>0</x:v>
      </x:c>
      <x:c r="N57" s="8"/>
    </x:row>
    <x:row r="58">
      <x:c r="A58" s="7" t="s">
        <x:v>37</x:v>
      </x:c>
      <x:c r="B58" s="8"/>
      <x:c r="C58" s="9" t="s">
        <x:v>38</x:v>
      </x:c>
      <x:c r="D58" s="7" t="str">
        <x:v>db</x:v>
      </x:c>
      <x:c r="E58" s="8"/>
      <x:c r="F58" s="8"/>
      <x:c r="G58" s="8"/>
      <x:c r="H58" s="8"/>
      <x:c r="I58" s="8"/>
      <x:c r="J58" s="8"/>
      <x:c r="K58" s="8"/>
      <x:c r="L58" s="8"/>
      <x:c r="M58" s="10">
        <x:f t="shared" si="2"/>
        <x:v>0</x:v>
      </x:c>
      <x:c r="N58" s="8"/>
    </x:row>
    <x:row r="59">
      <x:c r="A59" s="7" t="s">
        <x:v>39</x:v>
      </x:c>
      <x:c r="B59" s="8"/>
      <x:c r="C59" s="9" t="s">
        <x:v>40</x:v>
      </x:c>
      <x:c r="D59" s="7" t="str">
        <x:v>fm</x:v>
      </x:c>
      <x:c r="E59" s="8"/>
      <x:c r="F59" s="8"/>
      <x:c r="G59" s="8"/>
      <x:c r="H59" s="8"/>
      <x:c r="I59" s="8"/>
      <x:c r="J59" s="8"/>
      <x:c r="K59" s="8"/>
      <x:c r="L59" s="8"/>
      <x:c r="M59" s="10">
        <x:f t="shared" si="2"/>
        <x:v>0</x:v>
      </x:c>
      <x:c r="N59" s="8"/>
    </x:row>
    <x:row r="60">
      <x:c r="A60" s="7" t="s">
        <x:v>41</x:v>
      </x:c>
      <x:c r="B60" s="8"/>
      <x:c r="C60" s="9" t="s">
        <x:v>42</x:v>
      </x:c>
      <x:c r="D60" s="7" t="str">
        <x:v>fm</x:v>
      </x:c>
      <x:c r="E60" s="8"/>
      <x:c r="F60" s="8"/>
      <x:c r="G60" s="8"/>
      <x:c r="H60" s="8"/>
      <x:c r="I60" s="8"/>
      <x:c r="J60" s="8"/>
      <x:c r="K60" s="8"/>
      <x:c r="L60" s="8"/>
      <x:c r="M60" s="10">
        <x:f t="shared" si="2"/>
        <x:v>0</x:v>
      </x:c>
      <x:c r="N60" s="8"/>
    </x:row>
    <x:row r="61">
      <x:c r="A61" s="7" t="s">
        <x:v>43</x:v>
      </x:c>
      <x:c r="B61" s="8"/>
      <x:c r="C61" s="9" t="s">
        <x:v>44</x:v>
      </x:c>
      <x:c r="D61" s="7" t="str">
        <x:v>fm</x:v>
      </x:c>
      <x:c r="E61" s="8"/>
      <x:c r="F61" s="8"/>
      <x:c r="G61" s="8"/>
      <x:c r="H61" s="8"/>
      <x:c r="I61" s="8"/>
      <x:c r="J61" s="8"/>
      <x:c r="K61" s="8"/>
      <x:c r="L61" s="8"/>
      <x:c r="M61" s="10">
        <x:f t="shared" si="2"/>
        <x:v>0</x:v>
      </x:c>
      <x:c r="N61" s="8"/>
    </x:row>
    <x:row r="62">
      <x:c r="A62" s="7" t="s">
        <x:v>45</x:v>
      </x:c>
      <x:c r="B62" s="8"/>
      <x:c r="C62" s="9" t="str">
        <x:v>Subsoil / ag drain (slotted cső)</x:v>
      </x:c>
      <x:c r="D62" s="7" t="str">
        <x:v>fm</x:v>
      </x:c>
      <x:c r="E62" s="8"/>
      <x:c r="F62" s="8"/>
      <x:c r="G62" s="8"/>
      <x:c r="H62" s="8"/>
      <x:c r="I62" s="8"/>
      <x:c r="J62" s="8"/>
      <x:c r="K62" s="8"/>
      <x:c r="L62" s="8"/>
      <x:c r="M62" s="10">
        <x:f t="shared" si="2"/>
        <x:v>0</x:v>
      </x:c>
      <x:c r="N62" s="8"/>
    </x:row>
    <x:row r="63">
      <x:c r="A63" s="7" t="s">
        <x:v>46</x:v>
      </x:c>
      <x:c r="B63" s="8"/>
      <x:c r="C63" s="9" t="s">
        <x:v>47</x:v>
      </x:c>
      <x:c r="D63" s="7" t="s">
        <x:v>1</x:v>
      </x:c>
      <x:c r="E63" s="8"/>
      <x:c r="F63" s="8"/>
      <x:c r="G63" s="8"/>
      <x:c r="H63" s="8"/>
      <x:c r="I63" s="8"/>
      <x:c r="J63" s="8"/>
      <x:c r="K63" s="8"/>
      <x:c r="L63" s="8"/>
      <x:c r="M63" s="10">
        <x:f t="shared" si="2"/>
        <x:v>0</x:v>
      </x:c>
      <x:c r="N63" s="8"/>
    </x:row>
    <x:row r="64">
      <x:c r="A64" s="7" t="s">
        <x:v>48</x:v>
      </x:c>
      <x:c r="B64" s="8"/>
      <x:c r="C64" s="9" t="str">
        <x:v>Geotextile wrapping - subsoil drain</x:v>
      </x:c>
      <x:c r="D64" s="7" t="s">
        <x:v>4</x:v>
      </x:c>
      <x:c r="E64" s="8"/>
      <x:c r="F64" s="8"/>
      <x:c r="G64" s="8"/>
      <x:c r="H64" s="8"/>
      <x:c r="I64" s="8"/>
      <x:c r="J64" s="8"/>
      <x:c r="K64" s="8"/>
      <x:c r="L64" s="8"/>
      <x:c r="M64" s="10">
        <x:f t="shared" si="2"/>
        <x:v>0</x:v>
      </x:c>
      <x:c r="N64" s="8"/>
    </x:row>
    <x:row r="65">
      <x:c r="A65" s="7" t="s">
        <x:v>49</x:v>
      </x:c>
      <x:c r="B65" s="8"/>
      <x:c r="C65" s="9" t="s">
        <x:v>50</x:v>
      </x:c>
      <x:c r="D65" s="7" t="s">
        <x:v>1</x:v>
      </x:c>
      <x:c r="E65" s="8"/>
      <x:c r="F65" s="8"/>
      <x:c r="G65" s="8"/>
      <x:c r="H65" s="8"/>
      <x:c r="I65" s="8"/>
      <x:c r="J65" s="8"/>
      <x:c r="K65" s="8"/>
      <x:c r="L65" s="8"/>
      <x:c r="M65" s="10">
        <x:f t="shared" si="2"/>
        <x:v>0</x:v>
      </x:c>
      <x:c r="N65" s="8"/>
    </x:row>
    <x:row r="66">
      <x:c r="A66" s="7" t="s">
        <x:v>51</x:v>
      </x:c>
      <x:c r="B66" s="8"/>
      <x:c r="C66" s="9" t="str">
        <x:v>hordalék- és uszadékfogó műtárgy (GPT)</x:v>
      </x:c>
      <x:c r="D66" s="7" t="str">
        <x:v>db</x:v>
      </x:c>
      <x:c r="E66" s="8"/>
      <x:c r="F66" s="8"/>
      <x:c r="G66" s="8"/>
      <x:c r="H66" s="8"/>
      <x:c r="I66" s="8"/>
      <x:c r="J66" s="8"/>
      <x:c r="K66" s="8"/>
      <x:c r="L66" s="8"/>
      <x:c r="M66" s="10">
        <x:f t="shared" si="2"/>
        <x:v>0</x:v>
      </x:c>
      <x:c r="N66" s="8"/>
    </x:row>
    <x:row r="67">
      <x:c r="A67" s="7" t="s">
        <x:v>52</x:v>
      </x:c>
      <x:c r="B67" s="8"/>
      <x:c r="C67" s="9" t="str">
        <x:v>Detention mosdó / bioretention</x:v>
      </x:c>
      <x:c r="D67" s="7" t="s">
        <x:v>1</x:v>
      </x:c>
      <x:c r="E67" s="8"/>
      <x:c r="F67" s="8"/>
      <x:c r="G67" s="8"/>
      <x:c r="H67" s="8"/>
      <x:c r="I67" s="8"/>
      <x:c r="J67" s="8"/>
      <x:c r="K67" s="8"/>
      <x:c r="L67" s="8"/>
      <x:c r="M67" s="10">
        <x:f t="shared" si="2"/>
        <x:v>0</x:v>
      </x:c>
      <x:c r="N67" s="8"/>
    </x:row>
    <x:row r="68">
      <x:c r="A68" s="5"/>
      <x:c r="B68" s="6" t="str">
        <x:v>SZENNYVÍZ ÉS IVÓVÍZ</x:v>
      </x:c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</x:row>
    <x:row r="69">
      <x:c r="A69" s="7">
        <x:v>4.0999999999999996</x:v>
      </x:c>
      <x:c r="B69" s="8"/>
      <x:c r="C69" s="9" t="str">
        <x:v>szennyvíz main – PVC (átmérő: ___mm)</x:v>
      </x:c>
      <x:c r="D69" s="7" t="str">
        <x:v>fm</x:v>
      </x:c>
      <x:c r="E69" s="8"/>
      <x:c r="F69" s="8"/>
      <x:c r="G69" s="8"/>
      <x:c r="H69" s="8"/>
      <x:c r="I69" s="8"/>
      <x:c r="J69" s="8"/>
      <x:c r="K69" s="8"/>
      <x:c r="L69" s="8"/>
      <x:c r="M69" s="10" t="n">
        <x:f t="shared" ref="M69:M81" si="3">SUM(E69:L69)</x:f>
        <x:v>0</x:v>
      </x:c>
      <x:c r="N69" s="11" t="str">
        <x:v>Segment by mélység range</x:v>
      </x:c>
    </x:row>
    <x:row r="70">
      <x:c r="A70" s="7">
        <x:v>4.2</x:v>
      </x:c>
      <x:c r="B70" s="8"/>
      <x:c r="C70" s="9" t="str">
        <x:v>szennyvíz main – vitrified clay (átmérő: ___mm)</x:v>
      </x:c>
      <x:c r="D70" s="7" t="str">
        <x:v>fm</x:v>
      </x:c>
      <x:c r="E70" s="8"/>
      <x:c r="F70" s="8"/>
      <x:c r="G70" s="8"/>
      <x:c r="H70" s="8"/>
      <x:c r="I70" s="8"/>
      <x:c r="J70" s="8"/>
      <x:c r="K70" s="8"/>
      <x:c r="L70" s="8"/>
      <x:c r="M70" s="10">
        <x:f t="shared" si="3"/>
        <x:v>0</x:v>
      </x:c>
      <x:c r="N70" s="8"/>
    </x:row>
    <x:row r="71">
      <x:c r="A71" s="7">
        <x:v>4.3</x:v>
      </x:c>
      <x:c r="B71" s="8"/>
      <x:c r="C71" s="9" t="str">
        <x:v>szennyvíz akna / maintenance hole</x:v>
      </x:c>
      <x:c r="D71" s="7" t="str">
        <x:v>db</x:v>
      </x:c>
      <x:c r="E71" s="8"/>
      <x:c r="F71" s="8"/>
      <x:c r="G71" s="8"/>
      <x:c r="H71" s="8"/>
      <x:c r="I71" s="8"/>
      <x:c r="J71" s="8"/>
      <x:c r="K71" s="8"/>
      <x:c r="L71" s="8"/>
      <x:c r="M71" s="10">
        <x:f t="shared" si="3"/>
        <x:v>0</x:v>
      </x:c>
      <x:c r="N71" s="11" t="str">
        <x:v>Price varies non-linearly mélység</x:v>
      </x:c>
    </x:row>
    <x:row r="72">
      <x:c r="A72" s="7">
        <x:v>4.4000000000000004</x:v>
      </x:c>
      <x:c r="B72" s="8"/>
      <x:c r="C72" s="9" t="str">
        <x:v>szennyvíz inspection opening</x:v>
      </x:c>
      <x:c r="D72" s="7" t="str">
        <x:v>db</x:v>
      </x:c>
      <x:c r="E72" s="8"/>
      <x:c r="F72" s="8"/>
      <x:c r="G72" s="8"/>
      <x:c r="H72" s="8"/>
      <x:c r="I72" s="8"/>
      <x:c r="J72" s="8"/>
      <x:c r="K72" s="8"/>
      <x:c r="L72" s="8"/>
      <x:c r="M72" s="10">
        <x:f t="shared" si="3"/>
        <x:v>0</x:v>
      </x:c>
      <x:c r="N72" s="8"/>
    </x:row>
    <x:row r="73">
      <x:c r="A73" s="7">
        <x:v>4.5</x:v>
      </x:c>
      <x:c r="B73" s="8"/>
      <x:c r="C73" s="9" t="str">
        <x:v>szennyvízátemelő</x:v>
      </x:c>
      <x:c r="D73" s="7" t="str">
        <x:v>db</x:v>
      </x:c>
      <x:c r="E73" s="8"/>
      <x:c r="F73" s="8"/>
      <x:c r="G73" s="8"/>
      <x:c r="H73" s="8"/>
      <x:c r="I73" s="8"/>
      <x:c r="J73" s="8"/>
      <x:c r="K73" s="8"/>
      <x:c r="L73" s="8"/>
      <x:c r="M73" s="10">
        <x:f t="shared" si="3"/>
        <x:v>0</x:v>
      </x:c>
      <x:c r="N73" s="8"/>
    </x:row>
    <x:row r="74">
      <x:c r="A74" s="7">
        <x:v>4.5999999999999996</x:v>
      </x:c>
      <x:c r="B74" s="8"/>
      <x:c r="C74" s="9" t="str">
        <x:v>víz main – PE100 (átmérő: ___mm)</x:v>
      </x:c>
      <x:c r="D74" s="7" t="str">
        <x:v>fm</x:v>
      </x:c>
      <x:c r="E74" s="8"/>
      <x:c r="F74" s="8"/>
      <x:c r="G74" s="8"/>
      <x:c r="H74" s="8"/>
      <x:c r="I74" s="8"/>
      <x:c r="J74" s="8"/>
      <x:c r="K74" s="8"/>
      <x:c r="L74" s="8"/>
      <x:c r="M74" s="10">
        <x:f t="shared" si="3"/>
        <x:v>0</x:v>
      </x:c>
      <x:c r="N74" s="8"/>
    </x:row>
    <x:row r="75">
      <x:c r="A75" s="7">
        <x:v>4.7</x:v>
      </x:c>
      <x:c r="B75" s="8"/>
      <x:c r="C75" s="9" t="str">
        <x:v>víz main – ductile iron (átmérő: ___mm)</x:v>
      </x:c>
      <x:c r="D75" s="7" t="str">
        <x:v>fm</x:v>
      </x:c>
      <x:c r="E75" s="8"/>
      <x:c r="F75" s="8"/>
      <x:c r="G75" s="8"/>
      <x:c r="H75" s="8"/>
      <x:c r="I75" s="8"/>
      <x:c r="J75" s="8"/>
      <x:c r="K75" s="8"/>
      <x:c r="L75" s="8"/>
      <x:c r="M75" s="10">
        <x:f t="shared" si="3"/>
        <x:v>0</x:v>
      </x:c>
      <x:c r="N75" s="8"/>
    </x:row>
    <x:row r="76">
      <x:c r="A76" s="7">
        <x:v>4.8</x:v>
      </x:c>
      <x:c r="B76" s="8"/>
      <x:c r="C76" s="9" t="str">
        <x:v>víz main szelep (gate / butterfly)</x:v>
      </x:c>
      <x:c r="D76" s="7" t="str">
        <x:v>db</x:v>
      </x:c>
      <x:c r="E76" s="8"/>
      <x:c r="F76" s="8"/>
      <x:c r="G76" s="8"/>
      <x:c r="H76" s="8"/>
      <x:c r="I76" s="8"/>
      <x:c r="J76" s="8"/>
      <x:c r="K76" s="8"/>
      <x:c r="L76" s="8"/>
      <x:c r="M76" s="10">
        <x:f t="shared" si="3"/>
        <x:v>0</x:v>
      </x:c>
      <x:c r="N76" s="8"/>
    </x:row>
    <x:row r="77">
      <x:c r="A77" s="7">
        <x:v>4.9000000000000004</x:v>
      </x:c>
      <x:c r="B77" s="8"/>
      <x:c r="C77" s="9" t="s">
        <x:v>53</x:v>
      </x:c>
      <x:c r="D77" s="7" t="str">
        <x:v>db</x:v>
      </x:c>
      <x:c r="E77" s="8"/>
      <x:c r="F77" s="8"/>
      <x:c r="G77" s="8"/>
      <x:c r="H77" s="8"/>
      <x:c r="I77" s="8"/>
      <x:c r="J77" s="8"/>
      <x:c r="K77" s="8"/>
      <x:c r="L77" s="8"/>
      <x:c r="M77" s="10">
        <x:f t="shared" si="3"/>
        <x:v>0</x:v>
      </x:c>
      <x:c r="N77" s="8"/>
    </x:row>
    <x:row r="78">
      <x:c r="A78" s="7" t="s">
        <x:v>54</x:v>
      </x:c>
      <x:c r="B78" s="8"/>
      <x:c r="C78" s="9" t="str">
        <x:v>víz meter / tapping</x:v>
      </x:c>
      <x:c r="D78" s="7" t="str">
        <x:v>db</x:v>
      </x:c>
      <x:c r="E78" s="8"/>
      <x:c r="F78" s="8"/>
      <x:c r="G78" s="8"/>
      <x:c r="H78" s="8"/>
      <x:c r="I78" s="8"/>
      <x:c r="J78" s="8"/>
      <x:c r="K78" s="8"/>
      <x:c r="L78" s="8"/>
      <x:c r="M78" s="10">
        <x:f t="shared" si="3"/>
        <x:v>0</x:v>
      </x:c>
      <x:c r="N78" s="8"/>
    </x:row>
    <x:row r="79">
      <x:c r="A79" s="7" t="s">
        <x:v>55</x:v>
      </x:c>
      <x:c r="B79" s="8"/>
      <x:c r="C79" s="9" t="str">
        <x:v>Thrust falazóelem / anchor falazóelem</x:v>
      </x:c>
      <x:c r="D79" s="7" t="str">
        <x:v>db</x:v>
      </x:c>
      <x:c r="E79" s="8"/>
      <x:c r="F79" s="8"/>
      <x:c r="G79" s="8"/>
      <x:c r="H79" s="8"/>
      <x:c r="I79" s="8"/>
      <x:c r="J79" s="8"/>
      <x:c r="K79" s="8"/>
      <x:c r="L79" s="8"/>
      <x:c r="M79" s="10">
        <x:f t="shared" si="3"/>
        <x:v>0</x:v>
      </x:c>
      <x:c r="N79" s="8"/>
    </x:row>
    <x:row r="80">
      <x:c r="A80" s="7" t="s">
        <x:v>56</x:v>
      </x:c>
      <x:c r="B80" s="8"/>
      <x:c r="C80" s="9" t="str">
        <x:v>közműcsatlakozások (víz)</x:v>
      </x:c>
      <x:c r="D80" s="7" t="str">
        <x:v>db</x:v>
      </x:c>
      <x:c r="E80" s="8"/>
      <x:c r="F80" s="8"/>
      <x:c r="G80" s="8"/>
      <x:c r="H80" s="8"/>
      <x:c r="I80" s="8"/>
      <x:c r="J80" s="8"/>
      <x:c r="K80" s="8"/>
      <x:c r="L80" s="8"/>
      <x:c r="M80" s="10">
        <x:f t="shared" si="3"/>
        <x:v>0</x:v>
      </x:c>
      <x:c r="N80" s="8"/>
    </x:row>
    <x:row r="81">
      <x:c r="A81" s="7" t="s">
        <x:v>57</x:v>
      </x:c>
      <x:c r="B81" s="8"/>
      <x:c r="C81" s="9" t="str">
        <x:v>közműcsatlakozások (szennyvíz)</x:v>
      </x:c>
      <x:c r="D81" s="7" t="str">
        <x:v>db</x:v>
      </x:c>
      <x:c r="E81" s="8"/>
      <x:c r="F81" s="8"/>
      <x:c r="G81" s="8"/>
      <x:c r="H81" s="8"/>
      <x:c r="I81" s="8"/>
      <x:c r="J81" s="8"/>
      <x:c r="K81" s="8"/>
      <x:c r="L81" s="8"/>
      <x:c r="M81" s="10">
        <x:f t="shared" si="3"/>
        <x:v>0</x:v>
      </x:c>
      <x:c r="N81" s="8"/>
    </x:row>
    <x:row r="82">
      <x:c r="A82" s="5"/>
      <x:c r="B82" s="6" t="str">
        <x:v>IDEIGLENES LÉTESÍTMÉNYEK ÉS KÖRNYEZETVÉDELEM</x:v>
      </x:c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</x:row>
    <x:row r="83">
      <x:c r="A83" s="7">
        <x:v>5.0999999999999996</x:v>
      </x:c>
      <x:c r="B83" s="8"/>
      <x:c r="C83" s="9" t="str">
        <x:v>munkaárok shoring – timber / acél</x:v>
      </x:c>
      <x:c r="D83" s="7" t="str">
        <x:v>fm</x:v>
      </x:c>
      <x:c r="E83" s="8"/>
      <x:c r="F83" s="8"/>
      <x:c r="G83" s="8"/>
      <x:c r="H83" s="8"/>
      <x:c r="I83" s="8"/>
      <x:c r="J83" s="8"/>
      <x:c r="K83" s="8"/>
      <x:c r="L83" s="8"/>
      <x:c r="M83" s="10" t="n">
        <x:f t="shared" ref="M83:M94" si="4">SUM(E83:L83)</x:f>
        <x:v>0</x:v>
      </x:c>
      <x:c r="N83" s="11" t="str">
        <x:v>Depths &gt;1.5m. Cost folyóméterenként × mélység</x:v>
      </x:c>
    </x:row>
    <x:row r="84">
      <x:c r="A84" s="7">
        <x:v>5.2</x:v>
      </x:c>
      <x:c r="B84" s="8"/>
      <x:c r="C84" s="9" t="str">
        <x:v>munkaárok shoring – munkaárok box</x:v>
      </x:c>
      <x:c r="D84" s="7" t="str">
        <x:v>fm</x:v>
      </x:c>
      <x:c r="E84" s="8"/>
      <x:c r="F84" s="8"/>
      <x:c r="G84" s="8"/>
      <x:c r="H84" s="8"/>
      <x:c r="I84" s="8"/>
      <x:c r="J84" s="8"/>
      <x:c r="K84" s="8"/>
      <x:c r="L84" s="8"/>
      <x:c r="M84" s="10">
        <x:f t="shared" si="4"/>
        <x:v>0</x:v>
      </x:c>
      <x:c r="N84" s="8"/>
    </x:row>
    <x:row r="85">
      <x:c r="A85" s="7">
        <x:v>5.3</x:v>
      </x:c>
      <x:c r="B85" s="8"/>
      <x:c r="C85" s="9" t="str">
        <x:v>víztelenítés – wellpoint system</x:v>
      </x:c>
      <x:c r="D85" s="7" t="str">
        <x:v>hét</x:v>
      </x:c>
      <x:c r="E85" s="8"/>
      <x:c r="F85" s="8"/>
      <x:c r="G85" s="8"/>
      <x:c r="H85" s="8"/>
      <x:c r="I85" s="8"/>
      <x:c r="J85" s="8"/>
      <x:c r="K85" s="8"/>
      <x:c r="L85" s="8"/>
      <x:c r="M85" s="10">
        <x:f t="shared" si="4"/>
        <x:v>0</x:v>
      </x:c>
      <x:c r="N85" s="11" t="str">
        <x:v>Where munkaárok intersects víz table</x:v>
      </x:c>
    </x:row>
    <x:row r="86">
      <x:c r="A86" s="7">
        <x:v>5.4</x:v>
      </x:c>
      <x:c r="B86" s="8"/>
      <x:c r="C86" s="9" t="str">
        <x:v>víztelenítés – zsomp szivattyú</x:v>
      </x:c>
      <x:c r="D86" s="7" t="str">
        <x:v>hét</x:v>
      </x:c>
      <x:c r="E86" s="8"/>
      <x:c r="F86" s="8"/>
      <x:c r="G86" s="8"/>
      <x:c r="H86" s="8"/>
      <x:c r="I86" s="8"/>
      <x:c r="J86" s="8"/>
      <x:c r="K86" s="8"/>
      <x:c r="L86" s="8"/>
      <x:c r="M86" s="10">
        <x:f t="shared" si="4"/>
        <x:v>0</x:v>
      </x:c>
      <x:c r="N86" s="8"/>
    </x:row>
    <x:row r="87">
      <x:c r="A87" s="7">
        <x:v>5.5</x:v>
      </x:c>
      <x:c r="B87" s="8"/>
      <x:c r="C87" s="9" t="s">
        <x:v>58</x:v>
      </x:c>
      <x:c r="D87" s="7" t="str">
        <x:v>fm</x:v>
      </x:c>
      <x:c r="E87" s="8"/>
      <x:c r="F87" s="8"/>
      <x:c r="G87" s="8"/>
      <x:c r="H87" s="8"/>
      <x:c r="I87" s="8"/>
      <x:c r="J87" s="8"/>
      <x:c r="K87" s="8"/>
      <x:c r="L87" s="8"/>
      <x:c r="M87" s="10">
        <x:f t="shared" si="4"/>
        <x:v>0</x:v>
      </x:c>
      <x:c r="N87" s="11" t="str">
        <x:v>Around depóniák + munkaterület határa</x:v>
      </x:c>
    </x:row>
    <x:row r="88">
      <x:c r="A88" s="7">
        <x:v>5.6</x:v>
      </x:c>
      <x:c r="B88" s="8"/>
      <x:c r="C88" s="9" t="str">
        <x:v>Sediment mosdó (temporary)</x:v>
      </x:c>
      <x:c r="D88" s="7" t="str">
        <x:v>db</x:v>
      </x:c>
      <x:c r="E88" s="8"/>
      <x:c r="F88" s="8"/>
      <x:c r="G88" s="8"/>
      <x:c r="H88" s="8"/>
      <x:c r="I88" s="8"/>
      <x:c r="J88" s="8"/>
      <x:c r="K88" s="8"/>
      <x:c r="L88" s="8"/>
      <x:c r="M88" s="10">
        <x:f t="shared" si="4"/>
        <x:v>0</x:v>
      </x:c>
      <x:c r="N88" s="11" t="s">
        <x:v>59</x:v>
      </x:c>
    </x:row>
    <x:row r="89">
      <x:c r="A89" s="7">
        <x:v>5.7</x:v>
      </x:c>
      <x:c r="B89" s="8"/>
      <x:c r="C89" s="9" t="s">
        <x:v>60</x:v>
      </x:c>
      <x:c r="D89" s="7" t="s">
        <x:v>4</x:v>
      </x:c>
      <x:c r="E89" s="8"/>
      <x:c r="F89" s="8"/>
      <x:c r="G89" s="8"/>
      <x:c r="H89" s="8"/>
      <x:c r="I89" s="8"/>
      <x:c r="J89" s="8"/>
      <x:c r="K89" s="8"/>
      <x:c r="L89" s="8"/>
      <x:c r="M89" s="10">
        <x:f t="shared" si="4"/>
        <x:v>0</x:v>
      </x:c>
      <x:c r="N89" s="11" t="str">
        <x:v>Exposed rézsűfelületek és árkok / csatornák</x:v>
      </x:c>
    </x:row>
    <x:row r="90">
      <x:c r="A90" s="7">
        <x:v>5.8</x:v>
      </x:c>
      <x:c r="B90" s="8"/>
      <x:c r="C90" s="9" t="s">
        <x:v>61</x:v>
      </x:c>
      <x:c r="D90" s="7" t="str">
        <x:v>db</x:v>
      </x:c>
      <x:c r="E90" s="8"/>
      <x:c r="F90" s="8"/>
      <x:c r="G90" s="8"/>
      <x:c r="H90" s="8"/>
      <x:c r="I90" s="8"/>
      <x:c r="J90" s="8"/>
      <x:c r="K90" s="8"/>
      <x:c r="L90" s="8"/>
      <x:c r="M90" s="10">
        <x:f t="shared" si="4"/>
        <x:v>0</x:v>
      </x:c>
      <x:c r="N90" s="8"/>
    </x:row>
    <x:row r="91">
      <x:c r="A91" s="7">
        <x:v>5.9</x:v>
      </x:c>
      <x:c r="B91" s="8"/>
      <x:c r="C91" s="9" t="s">
        <x:v>62</x:v>
      </x:c>
      <x:c r="D91" s="7" t="str">
        <x:v>nap</x:v>
      </x:c>
      <x:c r="E91" s="8"/>
      <x:c r="F91" s="8"/>
      <x:c r="G91" s="8"/>
      <x:c r="H91" s="8"/>
      <x:c r="I91" s="8"/>
      <x:c r="J91" s="8"/>
      <x:c r="K91" s="8"/>
      <x:c r="L91" s="8"/>
      <x:c r="M91" s="10">
        <x:f t="shared" si="4"/>
        <x:v>0</x:v>
      </x:c>
      <x:c r="N91" s="11" t="str">
        <x:v> stage</x:v>
      </x:c>
    </x:row>
    <x:row r="92">
      <x:c r="A92" s="7" t="s">
        <x:v>63</x:v>
      </x:c>
      <x:c r="B92" s="8"/>
      <x:c r="C92" s="9" t="s">
        <x:v>64</x:v>
      </x:c>
      <x:c r="D92" s="7" t="str">
        <x:v>hét</x:v>
      </x:c>
      <x:c r="E92" s="8"/>
      <x:c r="F92" s="8"/>
      <x:c r="G92" s="8"/>
      <x:c r="H92" s="8"/>
      <x:c r="I92" s="8"/>
      <x:c r="J92" s="8"/>
      <x:c r="K92" s="8"/>
      <x:c r="L92" s="8"/>
      <x:c r="M92" s="10">
        <x:f t="shared" si="4"/>
        <x:v>0</x:v>
      </x:c>
      <x:c r="N92" s="8"/>
    </x:row>
    <x:row r="93">
      <x:c r="A93" s="7" t="s">
        <x:v>65</x:v>
      </x:c>
      <x:c r="B93" s="8"/>
      <x:c r="C93" s="9" t="str">
        <x:v>Temporary kerítés / barriers</x:v>
      </x:c>
      <x:c r="D93" s="7" t="str">
        <x:v>fm</x:v>
      </x:c>
      <x:c r="E93" s="8"/>
      <x:c r="F93" s="8"/>
      <x:c r="G93" s="8"/>
      <x:c r="H93" s="8"/>
      <x:c r="I93" s="8"/>
      <x:c r="J93" s="8"/>
      <x:c r="K93" s="8"/>
      <x:c r="L93" s="8"/>
      <x:c r="M93" s="10">
        <x:f t="shared" si="4"/>
        <x:v>0</x:v>
      </x:c>
      <x:c r="N93" s="8"/>
    </x:row>
    <x:row r="94">
      <x:c r="A94" s="7" t="s">
        <x:v>66</x:v>
      </x:c>
      <x:c r="B94" s="8"/>
      <x:c r="C94" s="9" t="str">
        <x:v>ideiglenes behajtóút</x:v>
      </x:c>
      <x:c r="D94" s="7" t="s">
        <x:v>4</x:v>
      </x:c>
      <x:c r="E94" s="8"/>
      <x:c r="F94" s="8"/>
      <x:c r="G94" s="8"/>
      <x:c r="H94" s="8"/>
      <x:c r="I94" s="8"/>
      <x:c r="J94" s="8"/>
      <x:c r="K94" s="8"/>
      <x:c r="L94" s="8"/>
      <x:c r="M94" s="10">
        <x:f t="shared" si="4"/>
        <x:v>0</x:v>
      </x:c>
      <x:c r="N94" s="8"/>
    </x:row>
    <x:row r="95">
      <x:c r="A95" s="5"/>
      <x:c r="B95" s="6" t="str">
        <x:v>KÖZMŰKIVÁLTÁSOK ÉS KÖZMŰVEK</x:v>
      </x:c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</x:row>
    <x:row r="96">
      <x:c r="A96" s="7">
        <x:v>6.1</x:v>
      </x:c>
      <x:c r="B96" s="8"/>
      <x:c r="C96" s="9" t="str">
        <x:v>Electrical védőcső (underground)</x:v>
      </x:c>
      <x:c r="D96" s="7" t="str">
        <x:v>fm</x:v>
      </x:c>
      <x:c r="E96" s="8"/>
      <x:c r="F96" s="8"/>
      <x:c r="G96" s="8"/>
      <x:c r="H96" s="8"/>
      <x:c r="I96" s="8"/>
      <x:c r="J96" s="8"/>
      <x:c r="K96" s="8"/>
      <x:c r="L96" s="8"/>
      <x:c r="M96" s="10" t="n">
        <x:f t="shared" ref="M96:M105" si="5">SUM(E96:L96)</x:f>
        <x:v>0</x:v>
      </x:c>
      <x:c r="N96" s="11" t="s">
        <x:v>67</x:v>
      </x:c>
    </x:row>
    <x:row r="97">
      <x:c r="A97" s="7">
        <x:v>6.2</x:v>
      </x:c>
      <x:c r="B97" s="8"/>
      <x:c r="C97" s="9" t="str">
        <x:v>Telecommunications védőcső</x:v>
      </x:c>
      <x:c r="D97" s="7" t="str">
        <x:v>fm</x:v>
      </x:c>
      <x:c r="E97" s="8"/>
      <x:c r="F97" s="8"/>
      <x:c r="G97" s="8"/>
      <x:c r="H97" s="8"/>
      <x:c r="I97" s="8"/>
      <x:c r="J97" s="8"/>
      <x:c r="K97" s="8"/>
      <x:c r="L97" s="8"/>
      <x:c r="M97" s="10">
        <x:f t="shared" si="5"/>
        <x:v>0</x:v>
      </x:c>
      <x:c r="N97" s="8"/>
    </x:row>
    <x:row r="98">
      <x:c r="A98" s="7">
        <x:v>6.3</x:v>
      </x:c>
      <x:c r="B98" s="8"/>
      <x:c r="C98" s="9" t="s">
        <x:v>68</x:v>
      </x:c>
      <x:c r="D98" s="7" t="str">
        <x:v>fm</x:v>
      </x:c>
      <x:c r="E98" s="8"/>
      <x:c r="F98" s="8"/>
      <x:c r="G98" s="8"/>
      <x:c r="H98" s="8"/>
      <x:c r="I98" s="8"/>
      <x:c r="J98" s="8"/>
      <x:c r="K98" s="8"/>
      <x:c r="L98" s="8"/>
      <x:c r="M98" s="10">
        <x:f t="shared" si="5"/>
        <x:v>0</x:v>
      </x:c>
      <x:c r="N98" s="8"/>
    </x:row>
    <x:row r="99">
      <x:c r="A99" s="7">
        <x:v>6.4</x:v>
      </x:c>
      <x:c r="B99" s="8"/>
      <x:c r="C99" s="9" t="str">
        <x:v>közműakna / közműoszlop / szekrény</x:v>
      </x:c>
      <x:c r="D99" s="7" t="str">
        <x:v>db</x:v>
      </x:c>
      <x:c r="E99" s="8"/>
      <x:c r="F99" s="8"/>
      <x:c r="G99" s="8"/>
      <x:c r="H99" s="8"/>
      <x:c r="I99" s="8"/>
      <x:c r="J99" s="8"/>
      <x:c r="K99" s="8"/>
      <x:c r="L99" s="8"/>
      <x:c r="M99" s="10">
        <x:f t="shared" si="5"/>
        <x:v>0</x:v>
      </x:c>
      <x:c r="N99" s="8"/>
    </x:row>
    <x:row r="100">
      <x:c r="A100" s="7">
        <x:v>6.5</x:v>
      </x:c>
      <x:c r="B100" s="8"/>
      <x:c r="C100" s="9" t="str">
        <x:v>közműkiváltás – electrical</x:v>
      </x:c>
      <x:c r="D100" s="7" t="str">
        <x:v>tétel</x:v>
      </x:c>
      <x:c r="E100" s="8"/>
      <x:c r="F100" s="8"/>
      <x:c r="G100" s="8"/>
      <x:c r="H100" s="8"/>
      <x:c r="I100" s="8"/>
      <x:c r="J100" s="8"/>
      <x:c r="K100" s="8"/>
      <x:c r="L100" s="8"/>
      <x:c r="M100" s="10">
        <x:f t="shared" si="5"/>
        <x:v>0</x:v>
      </x:c>
      <x:c r="N100" s="11" t="str">
        <x:v>Confirm scope authority</x:v>
      </x:c>
    </x:row>
    <x:row r="101">
      <x:c r="A101" s="7">
        <x:v>6.6</x:v>
      </x:c>
      <x:c r="B101" s="8"/>
      <x:c r="C101" s="9" t="str">
        <x:v>közműkiváltás – távközlés</x:v>
      </x:c>
      <x:c r="D101" s="7" t="str">
        <x:v>tétel</x:v>
      </x:c>
      <x:c r="E101" s="8"/>
      <x:c r="F101" s="8"/>
      <x:c r="G101" s="8"/>
      <x:c r="H101" s="8"/>
      <x:c r="I101" s="8"/>
      <x:c r="J101" s="8"/>
      <x:c r="K101" s="8"/>
      <x:c r="L101" s="8"/>
      <x:c r="M101" s="10">
        <x:f t="shared" si="5"/>
        <x:v>0</x:v>
      </x:c>
      <x:c r="N101" s="8"/>
    </x:row>
    <x:row r="102">
      <x:c r="A102" s="7">
        <x:v>6.7</x:v>
      </x:c>
      <x:c r="B102" s="8"/>
      <x:c r="C102" s="9" t="str">
        <x:v>közműkiváltás – víz</x:v>
      </x:c>
      <x:c r="D102" s="7" t="str">
        <x:v>tétel</x:v>
      </x:c>
      <x:c r="E102" s="8"/>
      <x:c r="F102" s="8"/>
      <x:c r="G102" s="8"/>
      <x:c r="H102" s="8"/>
      <x:c r="I102" s="8"/>
      <x:c r="J102" s="8"/>
      <x:c r="K102" s="8"/>
      <x:c r="L102" s="8"/>
      <x:c r="M102" s="10">
        <x:f t="shared" si="5"/>
        <x:v>0</x:v>
      </x:c>
      <x:c r="N102" s="8"/>
    </x:row>
    <x:row r="103">
      <x:c r="A103" s="7">
        <x:v>6.8</x:v>
      </x:c>
      <x:c r="B103" s="8"/>
      <x:c r="C103" s="9" t="str">
        <x:v>közműkiváltás – gas</x:v>
      </x:c>
      <x:c r="D103" s="7" t="str">
        <x:v>tétel</x:v>
      </x:c>
      <x:c r="E103" s="8"/>
      <x:c r="F103" s="8"/>
      <x:c r="G103" s="8"/>
      <x:c r="H103" s="8"/>
      <x:c r="I103" s="8"/>
      <x:c r="J103" s="8"/>
      <x:c r="K103" s="8"/>
      <x:c r="L103" s="8"/>
      <x:c r="M103" s="10">
        <x:f t="shared" si="5"/>
        <x:v>0</x:v>
      </x:c>
      <x:c r="N103" s="8"/>
    </x:row>
    <x:row r="104">
      <x:c r="A104" s="7">
        <x:v>6.9</x:v>
      </x:c>
      <x:c r="B104" s="8"/>
      <x:c r="C104" s="9" t="str">
        <x:v>közművédelem (concrete slab/megtámasztó váll)</x:v>
      </x:c>
      <x:c r="D104" s="7" t="str">
        <x:v>fm</x:v>
      </x:c>
      <x:c r="E104" s="8"/>
      <x:c r="F104" s="8"/>
      <x:c r="G104" s="8"/>
      <x:c r="H104" s="8"/>
      <x:c r="I104" s="8"/>
      <x:c r="J104" s="8"/>
      <x:c r="K104" s="8"/>
      <x:c r="L104" s="8"/>
      <x:c r="M104" s="10">
        <x:f t="shared" si="5"/>
        <x:v>0</x:v>
      </x:c>
      <x:c r="N104" s="11" t="str">
        <x:v>Where crossing existing közművek</x:v>
      </x:c>
    </x:row>
    <x:row r="105">
      <x:c r="A105" s="7" t="s">
        <x:v>69</x:v>
      </x:c>
      <x:c r="B105" s="8"/>
      <x:c r="C105" s="9" t="str">
        <x:v>akna fedlap / cover (forgalomterhelhető)</x:v>
      </x:c>
      <x:c r="D105" s="7" t="str">
        <x:v>db</x:v>
      </x:c>
      <x:c r="E105" s="8"/>
      <x:c r="F105" s="8"/>
      <x:c r="G105" s="8"/>
      <x:c r="H105" s="8"/>
      <x:c r="I105" s="8"/>
      <x:c r="J105" s="8"/>
      <x:c r="K105" s="8"/>
      <x:c r="L105" s="8"/>
      <x:c r="M105" s="10">
        <x:f t="shared" si="5"/>
        <x:v>0</x:v>
      </x:c>
      <x:c r="N105" s="8"/>
    </x:row>
    <x:row r="106">
      <x:c r="A106" s="5"/>
      <x:c r="B106" s="6" t="str">
        <x:v>ÚTBURKOLATI JELEK ÉS TÁBLÁZÁS</x:v>
      </x:c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</x:row>
    <x:row r="107">
      <x:c r="A107" s="7">
        <x:v>7.1</x:v>
      </x:c>
      <x:c r="B107" s="8"/>
      <x:c r="C107" s="9" t="str">
        <x:v>Centre útburkolati jel (dashed)</x:v>
      </x:c>
      <x:c r="D107" s="7" t="str">
        <x:v>fm</x:v>
      </x:c>
      <x:c r="E107" s="8"/>
      <x:c r="F107" s="8"/>
      <x:c r="G107" s="8"/>
      <x:c r="H107" s="8"/>
      <x:c r="I107" s="8"/>
      <x:c r="J107" s="8"/>
      <x:c r="K107" s="8"/>
      <x:c r="L107" s="8"/>
      <x:c r="M107" s="10" t="n">
        <x:f t="shared" ref="M107:M118" si="6">SUM(E107:L107)</x:f>
        <x:v>0</x:v>
      </x:c>
      <x:c r="N107" s="8"/>
    </x:row>
    <x:row r="108">
      <x:c r="A108" s="7">
        <x:v>7.2</x:v>
      </x:c>
      <x:c r="B108" s="8"/>
      <x:c r="C108" s="9" t="str">
        <x:v>Edge útburkolati jel (folyamatos)</x:v>
      </x:c>
      <x:c r="D108" s="7" t="str">
        <x:v>fm</x:v>
      </x:c>
      <x:c r="E108" s="8"/>
      <x:c r="F108" s="8"/>
      <x:c r="G108" s="8"/>
      <x:c r="H108" s="8"/>
      <x:c r="I108" s="8"/>
      <x:c r="J108" s="8"/>
      <x:c r="K108" s="8"/>
      <x:c r="L108" s="8"/>
      <x:c r="M108" s="10">
        <x:f t="shared" si="6"/>
        <x:v>0</x:v>
      </x:c>
      <x:c r="N108" s="8"/>
    </x:row>
    <x:row r="109">
      <x:c r="A109" s="7">
        <x:v>7.3</x:v>
      </x:c>
      <x:c r="B109" s="8"/>
      <x:c r="C109" s="9" t="str">
        <x:v>Lane útburkolati jel</x:v>
      </x:c>
      <x:c r="D109" s="7" t="str">
        <x:v>fm</x:v>
      </x:c>
      <x:c r="E109" s="8"/>
      <x:c r="F109" s="8"/>
      <x:c r="G109" s="8"/>
      <x:c r="H109" s="8"/>
      <x:c r="I109" s="8"/>
      <x:c r="J109" s="8"/>
      <x:c r="K109" s="8"/>
      <x:c r="L109" s="8"/>
      <x:c r="M109" s="10">
        <x:f t="shared" si="6"/>
        <x:v>0</x:v>
      </x:c>
      <x:c r="N109" s="8"/>
    </x:row>
    <x:row r="110">
      <x:c r="A110" s="7">
        <x:v>7.4</x:v>
      </x:c>
      <x:c r="B110" s="8"/>
      <x:c r="C110" s="9" t="s">
        <x:v>70</x:v>
      </x:c>
      <x:c r="D110" s="7" t="str">
        <x:v>db</x:v>
      </x:c>
      <x:c r="E110" s="8"/>
      <x:c r="F110" s="8"/>
      <x:c r="G110" s="8"/>
      <x:c r="H110" s="8"/>
      <x:c r="I110" s="8"/>
      <x:c r="J110" s="8"/>
      <x:c r="K110" s="8"/>
      <x:c r="L110" s="8"/>
      <x:c r="M110" s="10">
        <x:f t="shared" si="6"/>
        <x:v>0</x:v>
      </x:c>
      <x:c r="N110" s="8"/>
    </x:row>
    <x:row r="111">
      <x:c r="A111" s="7">
        <x:v>7.5</x:v>
      </x:c>
      <x:c r="B111" s="8"/>
      <x:c r="C111" s="9" t="s">
        <x:v>71</x:v>
      </x:c>
      <x:c r="D111" s="7" t="str">
        <x:v>db</x:v>
      </x:c>
      <x:c r="E111" s="8"/>
      <x:c r="F111" s="8"/>
      <x:c r="G111" s="8"/>
      <x:c r="H111" s="8"/>
      <x:c r="I111" s="8"/>
      <x:c r="J111" s="8"/>
      <x:c r="K111" s="8"/>
      <x:c r="L111" s="8"/>
      <x:c r="M111" s="10">
        <x:f t="shared" si="6"/>
        <x:v>0</x:v>
      </x:c>
      <x:c r="N111" s="8"/>
    </x:row>
    <x:row r="112">
      <x:c r="A112" s="7">
        <x:v>7.6</x:v>
      </x:c>
      <x:c r="B112" s="8"/>
      <x:c r="C112" s="9" t="s">
        <x:v>72</x:v>
      </x:c>
      <x:c r="D112" s="7" t="str">
        <x:v>db</x:v>
      </x:c>
      <x:c r="E112" s="8"/>
      <x:c r="F112" s="8"/>
      <x:c r="G112" s="8"/>
      <x:c r="H112" s="8"/>
      <x:c r="I112" s="8"/>
      <x:c r="J112" s="8"/>
      <x:c r="K112" s="8"/>
      <x:c r="L112" s="8"/>
      <x:c r="M112" s="10">
        <x:f t="shared" si="6"/>
        <x:v>0</x:v>
      </x:c>
      <x:c r="N112" s="8"/>
    </x:row>
    <x:row r="113">
      <x:c r="A113" s="7">
        <x:v>7.7</x:v>
      </x:c>
      <x:c r="B113" s="8"/>
      <x:c r="C113" s="9" t="s">
        <x:v>73</x:v>
      </x:c>
      <x:c r="D113" s="7" t="str">
        <x:v>db</x:v>
      </x:c>
      <x:c r="E113" s="8"/>
      <x:c r="F113" s="8"/>
      <x:c r="G113" s="8"/>
      <x:c r="H113" s="8"/>
      <x:c r="I113" s="8"/>
      <x:c r="J113" s="8"/>
      <x:c r="K113" s="8"/>
      <x:c r="L113" s="8"/>
      <x:c r="M113" s="10">
        <x:f t="shared" si="6"/>
        <x:v>0</x:v>
      </x:c>
      <x:c r="N113" s="8"/>
    </x:row>
    <x:row r="114">
      <x:c r="A114" s="7">
        <x:v>7.8</x:v>
      </x:c>
      <x:c r="B114" s="8"/>
      <x:c r="C114" s="9" t="s">
        <x:v>74</x:v>
      </x:c>
      <x:c r="D114" s="7" t="str">
        <x:v>db</x:v>
      </x:c>
      <x:c r="E114" s="8"/>
      <x:c r="F114" s="8"/>
      <x:c r="G114" s="8"/>
      <x:c r="H114" s="8"/>
      <x:c r="I114" s="8"/>
      <x:c r="J114" s="8"/>
      <x:c r="K114" s="8"/>
      <x:c r="L114" s="8"/>
      <x:c r="M114" s="10">
        <x:f t="shared" si="6"/>
        <x:v>0</x:v>
      </x:c>
      <x:c r="N114" s="8"/>
    </x:row>
    <x:row r="115">
      <x:c r="A115" s="7">
        <x:v>7.9</x:v>
      </x:c>
      <x:c r="B115" s="8"/>
      <x:c r="C115" s="9" t="s">
        <x:v>75</x:v>
      </x:c>
      <x:c r="D115" s="7" t="str">
        <x:v>db</x:v>
      </x:c>
      <x:c r="E115" s="8"/>
      <x:c r="F115" s="8"/>
      <x:c r="G115" s="8"/>
      <x:c r="H115" s="8"/>
      <x:c r="I115" s="8"/>
      <x:c r="J115" s="8"/>
      <x:c r="K115" s="8"/>
      <x:c r="L115" s="8"/>
      <x:c r="M115" s="10">
        <x:f t="shared" si="6"/>
        <x:v>0</x:v>
      </x:c>
      <x:c r="N115" s="8"/>
    </x:row>
    <x:row r="116">
      <x:c r="A116" s="7" t="s">
        <x:v>76</x:v>
      </x:c>
      <x:c r="B116" s="8"/>
      <x:c r="C116" s="9" t="str">
        <x:v>Sign post (egyszárnyú)</x:v>
      </x:c>
      <x:c r="D116" s="7" t="str">
        <x:v>db</x:v>
      </x:c>
      <x:c r="E116" s="8"/>
      <x:c r="F116" s="8"/>
      <x:c r="G116" s="8"/>
      <x:c r="H116" s="8"/>
      <x:c r="I116" s="8"/>
      <x:c r="J116" s="8"/>
      <x:c r="K116" s="8"/>
      <x:c r="L116" s="8"/>
      <x:c r="M116" s="10">
        <x:f t="shared" si="6"/>
        <x:v>0</x:v>
      </x:c>
      <x:c r="N116" s="8"/>
    </x:row>
    <x:row r="117">
      <x:c r="A117" s="7" t="s">
        <x:v>77</x:v>
      </x:c>
      <x:c r="B117" s="8"/>
      <x:c r="C117" s="9" t="s">
        <x:v>78</x:v>
      </x:c>
      <x:c r="D117" s="7" t="str">
        <x:v>db</x:v>
      </x:c>
      <x:c r="E117" s="8"/>
      <x:c r="F117" s="8"/>
      <x:c r="G117" s="8"/>
      <x:c r="H117" s="8"/>
      <x:c r="I117" s="8"/>
      <x:c r="J117" s="8"/>
      <x:c r="K117" s="8"/>
      <x:c r="L117" s="8"/>
      <x:c r="M117" s="10">
        <x:f t="shared" si="6"/>
        <x:v>0</x:v>
      </x:c>
      <x:c r="N117" s="8"/>
    </x:row>
    <x:row r="118">
      <x:c r="A118" s="7" t="s">
        <x:v>79</x:v>
      </x:c>
      <x:c r="B118" s="8"/>
      <x:c r="C118" s="9" t="s">
        <x:v>80</x:v>
      </x:c>
      <x:c r="D118" s="7" t="str">
        <x:v>db</x:v>
      </x:c>
      <x:c r="E118" s="8"/>
      <x:c r="F118" s="8"/>
      <x:c r="G118" s="8"/>
      <x:c r="H118" s="8"/>
      <x:c r="I118" s="8"/>
      <x:c r="J118" s="8"/>
      <x:c r="K118" s="8"/>
      <x:c r="L118" s="8"/>
      <x:c r="M118" s="10">
        <x:f t="shared" si="6"/>
        <x:v>0</x:v>
      </x:c>
      <x:c r="N118" s="8"/>
    </x:row>
    <x:row r="119">
      <x:c r="A119" s="5"/>
      <x:c r="B119" s="6" t="str">
        <x:v>KERÍTÉSEK, KORLÁTOK ÉS KÜLTÉRI ELEMEK</x:v>
      </x:c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</x:row>
    <x:row r="120">
      <x:c r="A120" s="7">
        <x:v>8.1</x:v>
      </x:c>
      <x:c r="B120" s="8"/>
      <x:c r="C120" s="9" t="s">
        <x:v>81</x:v>
      </x:c>
      <x:c r="D120" s="7" t="str">
        <x:v>fm</x:v>
      </x:c>
      <x:c r="E120" s="8"/>
      <x:c r="F120" s="8"/>
      <x:c r="G120" s="8"/>
      <x:c r="H120" s="8"/>
      <x:c r="I120" s="8"/>
      <x:c r="J120" s="8"/>
      <x:c r="K120" s="8"/>
      <x:c r="L120" s="8"/>
      <x:c r="M120" s="10" t="n">
        <x:f t="shared" ref="M120:M127" si="7">SUM(E120:L120)</x:f>
        <x:v>0</x:v>
      </x:c>
      <x:c r="N120" s="11" t="s">
        <x:v>82</x:v>
      </x:c>
    </x:row>
    <x:row r="121">
      <x:c r="A121" s="7">
        <x:v>8.1999999999999993</x:v>
      </x:c>
      <x:c r="B121" s="8"/>
      <x:c r="C121" s="9" t="s">
        <x:v>83</x:v>
      </x:c>
      <x:c r="D121" s="7" t="str">
        <x:v>fm</x:v>
      </x:c>
      <x:c r="E121" s="8"/>
      <x:c r="F121" s="8"/>
      <x:c r="G121" s="8"/>
      <x:c r="H121" s="8"/>
      <x:c r="I121" s="8"/>
      <x:c r="J121" s="8"/>
      <x:c r="K121" s="8"/>
      <x:c r="L121" s="8"/>
      <x:c r="M121" s="10">
        <x:f t="shared" si="7"/>
        <x:v>0</x:v>
      </x:c>
      <x:c r="N121" s="8"/>
    </x:row>
    <x:row r="122">
      <x:c r="A122" s="7">
        <x:v>8.3000000000000007</x:v>
      </x:c>
      <x:c r="B122" s="8"/>
      <x:c r="C122" s="9" t="s">
        <x:v>84</x:v>
      </x:c>
      <x:c r="D122" s="7" t="str">
        <x:v>fm</x:v>
      </x:c>
      <x:c r="E122" s="8"/>
      <x:c r="F122" s="8"/>
      <x:c r="G122" s="8"/>
      <x:c r="H122" s="8"/>
      <x:c r="I122" s="8"/>
      <x:c r="J122" s="8"/>
      <x:c r="K122" s="8"/>
      <x:c r="L122" s="8"/>
      <x:c r="M122" s="10">
        <x:f t="shared" si="7"/>
        <x:v>0</x:v>
      </x:c>
      <x:c r="N122" s="8"/>
    </x:row>
    <x:row r="123">
      <x:c r="A123" s="7">
        <x:v>8.4</x:v>
      </x:c>
      <x:c r="B123" s="8"/>
      <x:c r="C123" s="9" t="str">
        <x:v>Chain mesh kerítés (magasság: ___m)</x:v>
      </x:c>
      <x:c r="D123" s="7" t="str">
        <x:v>fm</x:v>
      </x:c>
      <x:c r="E123" s="8"/>
      <x:c r="F123" s="8"/>
      <x:c r="G123" s="8"/>
      <x:c r="H123" s="8"/>
      <x:c r="I123" s="8"/>
      <x:c r="J123" s="8"/>
      <x:c r="K123" s="8"/>
      <x:c r="L123" s="8"/>
      <x:c r="M123" s="10">
        <x:f t="shared" si="7"/>
        <x:v>0</x:v>
      </x:c>
      <x:c r="N123" s="8"/>
    </x:row>
    <x:row r="124">
      <x:c r="A124" s="7">
        <x:v>8.5</x:v>
      </x:c>
      <x:c r="B124" s="8"/>
      <x:c r="C124" s="9" t="s">
        <x:v>85</x:v>
      </x:c>
      <x:c r="D124" s="7" t="str">
        <x:v>fm</x:v>
      </x:c>
      <x:c r="E124" s="8"/>
      <x:c r="F124" s="8"/>
      <x:c r="G124" s="8"/>
      <x:c r="H124" s="8"/>
      <x:c r="I124" s="8"/>
      <x:c r="J124" s="8"/>
      <x:c r="K124" s="8"/>
      <x:c r="L124" s="8"/>
      <x:c r="M124" s="10">
        <x:f t="shared" si="7"/>
        <x:v>0</x:v>
      </x:c>
      <x:c r="N124" s="8"/>
    </x:row>
    <x:row r="125">
      <x:c r="A125" s="7">
        <x:v>8.6</x:v>
      </x:c>
      <x:c r="B125" s="8"/>
      <x:c r="C125" s="9" t="s">
        <x:v>86</x:v>
      </x:c>
      <x:c r="D125" s="7" t="str">
        <x:v>db</x:v>
      </x:c>
      <x:c r="E125" s="8"/>
      <x:c r="F125" s="8"/>
      <x:c r="G125" s="8"/>
      <x:c r="H125" s="8"/>
      <x:c r="I125" s="8"/>
      <x:c r="J125" s="8"/>
      <x:c r="K125" s="8"/>
      <x:c r="L125" s="8"/>
      <x:c r="M125" s="10">
        <x:f t="shared" si="7"/>
        <x:v>0</x:v>
      </x:c>
      <x:c r="N125" s="8"/>
    </x:row>
    <x:row r="126">
      <x:c r="A126" s="7">
        <x:v>8.6999999999999993</x:v>
      </x:c>
      <x:c r="B126" s="8"/>
      <x:c r="C126" s="9" t="s">
        <x:v>87</x:v>
      </x:c>
      <x:c r="D126" s="7" t="str">
        <x:v>db</x:v>
      </x:c>
      <x:c r="E126" s="8"/>
      <x:c r="F126" s="8"/>
      <x:c r="G126" s="8"/>
      <x:c r="H126" s="8"/>
      <x:c r="I126" s="8"/>
      <x:c r="J126" s="8"/>
      <x:c r="K126" s="8"/>
      <x:c r="L126" s="8"/>
      <x:c r="M126" s="10">
        <x:f t="shared" si="7"/>
        <x:v>0</x:v>
      </x:c>
      <x:c r="N126" s="8"/>
    </x:row>
    <x:row r="127">
      <x:c r="A127" s="7">
        <x:v>8.8000000000000007</x:v>
      </x:c>
      <x:c r="B127" s="8"/>
      <x:c r="C127" s="9" t="s">
        <x:v>88</x:v>
      </x:c>
      <x:c r="D127" s="7" t="str">
        <x:v>db</x:v>
      </x:c>
      <x:c r="E127" s="8"/>
      <x:c r="F127" s="8"/>
      <x:c r="G127" s="8"/>
      <x:c r="H127" s="8"/>
      <x:c r="I127" s="8"/>
      <x:c r="J127" s="8"/>
      <x:c r="K127" s="8"/>
      <x:c r="L127" s="8"/>
      <x:c r="M127" s="10">
        <x:f t="shared" si="7"/>
        <x:v>0</x:v>
      </x:c>
      <x:c r="N127" s="8"/>
    </x:row>
    <x:row r="128">
      <x:c r="A128" s="5"/>
      <x:c r="B128" s="6" t="str">
        <x:v>TEREPRENDEZÉS ÉS HELYREÁLLÍTÁS</x:v>
      </x:c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</x:row>
    <x:row r="129">
      <x:c r="A129" s="7">
        <x:v>9.1</x:v>
      </x:c>
      <x:c r="B129" s="8"/>
      <x:c r="C129" s="9" t="s">
        <x:v>89</x:v>
      </x:c>
      <x:c r="D129" s="7" t="s">
        <x:v>4</x:v>
      </x:c>
      <x:c r="E129" s="8"/>
      <x:c r="F129" s="8"/>
      <x:c r="G129" s="8"/>
      <x:c r="H129" s="8"/>
      <x:c r="I129" s="8"/>
      <x:c r="J129" s="8"/>
      <x:c r="K129" s="8"/>
      <x:c r="L129" s="8"/>
      <x:c r="M129" s="10" t="n">
        <x:f t="shared" ref="M129:M136" si="8">SUM(E129:L129)</x:f>
        <x:v>0</x:v>
      </x:c>
      <x:c r="N129" s="11" t="str">
        <x:v>From depózás</x:v>
      </x:c>
    </x:row>
    <x:row r="130">
      <x:c r="A130" s="7">
        <x:v>9.1999999999999993</x:v>
      </x:c>
      <x:c r="B130" s="8"/>
      <x:c r="C130" s="9" t="str">
        <x:v>beszállított termőföld</x:v>
      </x:c>
      <x:c r="D130" s="7" t="s">
        <x:v>1</x:v>
      </x:c>
      <x:c r="E130" s="8"/>
      <x:c r="F130" s="8"/>
      <x:c r="G130" s="8"/>
      <x:c r="H130" s="8"/>
      <x:c r="I130" s="8"/>
      <x:c r="J130" s="8"/>
      <x:c r="K130" s="8"/>
      <x:c r="L130" s="8"/>
      <x:c r="M130" s="10">
        <x:f t="shared" si="8"/>
        <x:v>0</x:v>
      </x:c>
      <x:c r="N130" s="8"/>
    </x:row>
    <x:row r="131">
      <x:c r="A131" s="7">
        <x:v>9.3000000000000007</x:v>
      </x:c>
      <x:c r="B131" s="8"/>
      <x:c r="C131" s="9" t="str">
        <x:v>Turf befúvás és lay</x:v>
      </x:c>
      <x:c r="D131" s="7" t="s">
        <x:v>4</x:v>
      </x:c>
      <x:c r="E131" s="8"/>
      <x:c r="F131" s="8"/>
      <x:c r="G131" s="8"/>
      <x:c r="H131" s="8"/>
      <x:c r="I131" s="8"/>
      <x:c r="J131" s="8"/>
      <x:c r="K131" s="8"/>
      <x:c r="L131" s="8"/>
      <x:c r="M131" s="10">
        <x:f t="shared" si="8"/>
        <x:v>0</x:v>
      </x:c>
      <x:c r="N131" s="8"/>
    </x:row>
    <x:row r="132">
      <x:c r="A132" s="7">
        <x:v>9.4</x:v>
      </x:c>
      <x:c r="B132" s="8"/>
      <x:c r="C132" s="9" t="s">
        <x:v>90</x:v>
      </x:c>
      <x:c r="D132" s="7" t="s">
        <x:v>4</x:v>
      </x:c>
      <x:c r="E132" s="8"/>
      <x:c r="F132" s="8"/>
      <x:c r="G132" s="8"/>
      <x:c r="H132" s="8"/>
      <x:c r="I132" s="8"/>
      <x:c r="J132" s="8"/>
      <x:c r="K132" s="8"/>
      <x:c r="L132" s="8"/>
      <x:c r="M132" s="10">
        <x:f t="shared" si="8"/>
        <x:v>0</x:v>
      </x:c>
      <x:c r="N132" s="8"/>
    </x:row>
    <x:row r="133">
      <x:c r="A133" s="7">
        <x:v>9.5</x:v>
      </x:c>
      <x:c r="B133" s="8"/>
      <x:c r="C133" s="9" t="str">
        <x:v>faültetés (specify fafaj / növényfaj / konténerméret)</x:v>
      </x:c>
      <x:c r="D133" s="7" t="str">
        <x:v>db</x:v>
      </x:c>
      <x:c r="E133" s="8"/>
      <x:c r="F133" s="8"/>
      <x:c r="G133" s="8"/>
      <x:c r="H133" s="8"/>
      <x:c r="I133" s="8"/>
      <x:c r="J133" s="8"/>
      <x:c r="K133" s="8"/>
      <x:c r="L133" s="8"/>
      <x:c r="M133" s="10">
        <x:f t="shared" si="8"/>
        <x:v>0</x:v>
      </x:c>
      <x:c r="N133" s="8"/>
    </x:row>
    <x:row r="134">
      <x:c r="A134" s="7">
        <x:v>9.6</x:v>
      </x:c>
      <x:c r="B134" s="8"/>
      <x:c r="C134" s="9" t="s">
        <x:v>91</x:v>
      </x:c>
      <x:c r="D134" s="7" t="str">
        <x:v>db</x:v>
      </x:c>
      <x:c r="E134" s="8"/>
      <x:c r="F134" s="8"/>
      <x:c r="G134" s="8"/>
      <x:c r="H134" s="8"/>
      <x:c r="I134" s="8"/>
      <x:c r="J134" s="8"/>
      <x:c r="K134" s="8"/>
      <x:c r="L134" s="8"/>
      <x:c r="M134" s="10">
        <x:f t="shared" si="8"/>
        <x:v>0</x:v>
      </x:c>
      <x:c r="N134" s="8"/>
    </x:row>
    <x:row r="135">
      <x:c r="A135" s="7">
        <x:v>9.6999999999999993</x:v>
      </x:c>
      <x:c r="B135" s="8"/>
      <x:c r="C135" s="9" t="s">
        <x:v>92</x:v>
      </x:c>
      <x:c r="D135" s="7" t="s">
        <x:v>1</x:v>
      </x:c>
      <x:c r="E135" s="8"/>
      <x:c r="F135" s="8"/>
      <x:c r="G135" s="8"/>
      <x:c r="H135" s="8"/>
      <x:c r="I135" s="8"/>
      <x:c r="J135" s="8"/>
      <x:c r="K135" s="8"/>
      <x:c r="L135" s="8"/>
      <x:c r="M135" s="10">
        <x:f t="shared" si="8"/>
        <x:v>0</x:v>
      </x:c>
      <x:c r="N135" s="8"/>
    </x:row>
    <x:row r="136">
      <x:c r="A136" s="7">
        <x:v>9.8000000000000007</x:v>
      </x:c>
      <x:c r="B136" s="8"/>
      <x:c r="C136" s="9" t="s">
        <x:v>93</x:v>
      </x:c>
      <x:c r="D136" s="7" t="s">
        <x:v>4</x:v>
      </x:c>
      <x:c r="E136" s="8"/>
      <x:c r="F136" s="8"/>
      <x:c r="G136" s="8"/>
      <x:c r="H136" s="8"/>
      <x:c r="I136" s="8"/>
      <x:c r="J136" s="8"/>
      <x:c r="K136" s="8"/>
      <x:c r="L136" s="8"/>
      <x:c r="M136" s="10">
        <x:f t="shared" si="8"/>
        <x:v>0</x:v>
      </x:c>
      <x:c r="N136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workbookViewId="0">
      <x:pane xSplit="1" ySplit="4" topLeftCell="B5" activePane="bottomRight" state="frozen"/>
    </x:sheetView>
  </x:sheetViews>
  <x:sheetFormatPr defaultColWidth="8.6640625" defaultRowHeight="14.25"/>
  <x:cols>
    <x:col min="1" max="1" width="10" customWidth="1"/>
    <x:col min="2" max="2" width="44" customWidth="1"/>
    <x:col min="3" max="3" width="8" customWidth="1"/>
    <x:col min="4" max="4" width="10" customWidth="1"/>
    <x:col min="5" max="6" width="12" customWidth="1"/>
    <x:col min="7" max="9" width="14" customWidth="1"/>
    <x:col min="10" max="10" width="32" customWidth="1"/>
  </x:cols>
  <x:sheetData>
    <x:row r="1" ht="17.649999618530273">
      <x:c r="A1" s="1" t="str">
        <x:v>MÉLYÉPÍTÉSI ASSEMBLY-K - MENNYISÉGI KIMUTATÁS</x:v>
      </x:c>
    </x:row>
    <x:row r="2">
      <x:c r="A2" s="12" t="str">
        <x:v>primer quantities link - the Civil QTO sheet. Adjust egységárak és component fajlagosok - suit your project.</x:v>
      </x:c>
    </x:row>
    <x:row r="4" ht="31.5" customHeight="1">
      <x:c r="A4" s="3" t="s">
        <x:v>94</x:v>
      </x:c>
      <x:c r="B4" s="3" t="str">
        <x:v>Komponens megnevezése</x:v>
      </x:c>
      <x:c r="C4" s="3" t="str">
        <x:v>Mértékegység</x:v>
      </x:c>
      <x:c r="D4" s="3" t="str">
        <x:v>Fajlagos /
primer mennyiség</x:v>
      </x:c>
      <x:c r="E4" s="3" t="str">
        <x:v>Primer
mennyiség</x:v>
      </x:c>
      <x:c r="F4" s="3" t="s">
        <x:v>95</x:v>
      </x:c>
      <x:c r="G4" s="3" t="str">
        <x:v>Egységár</x:v>
      </x:c>
      <x:c r="H4" s="3" t="str">
        <x:v>Összes költség</x:v>
      </x:c>
      <x:c r="I4" s="3" t="str">
        <x:v>Szakág / munkanem</x:v>
      </x:c>
      <x:c r="J4" s="3" t="str">
        <x:v>Megjegyzés</x:v>
      </x:c>
    </x:row>
    <x:row r="6">
      <x:c r="J6" s="13" t="str">
        <x:v>Mennyiségfelvétel hivatkozás 1.2</x:v>
      </x:c>
    </x:row>
    <x:row r="7">
      <x:c r="A7" s="14" t="s">
        <x:v>96</x:v>
      </x:c>
      <x:c r="B7" s="15" t="str">
        <x:v>Tömeges földkiemelés feltöltéshez (természetes térfogat)</x:v>
      </x:c>
      <x:c r="C7" s="7" t="s">
        <x:v>1</x:v>
      </x:c>
      <x:c r="D7" s="7">
        <x:v>1</x:v>
      </x:c>
      <x:c r="E7" s="16">
        <x:v>0</x:v>
      </x:c>
      <x:c r="F7" s="16" t="n">
        <x:f t="shared" ref="F7:F18" si="0">D7*E7</x:f>
        <x:v>0</x:v>
      </x:c>
      <x:c r="G7" s="17">
        <x:v>0</x:v>
      </x:c>
      <x:c r="H7" s="18" t="n">
        <x:f t="shared" ref="H7:H18" si="1">F7*G7</x:f>
        <x:v>0</x:v>
      </x:c>
      <x:c r="I7" s="8"/>
      <x:c r="J7" s="8"/>
    </x:row>
    <x:row r="8">
      <x:c r="A8" s="8"/>
      <x:c r="B8" s="9" t="str">
        <x:v>kotró (20t) – cut</x:v>
      </x:c>
      <x:c r="C8" s="7" t="str">
        <x:v>óra</x:v>
      </x:c>
      <x:c r="D8" s="7">
        <x:v>0.02</x:v>
      </x:c>
      <x:c r="E8" s="16" t="n">
        <x:f>E7</x:f>
        <x:v>0</x:v>
      </x:c>
      <x:c r="F8" s="16">
        <x:f t="shared" si="0"/>
        <x:v>0</x:v>
      </x:c>
      <x:c r="G8" s="17">
        <x:v>0</x:v>
      </x:c>
      <x:c r="H8" s="18">
        <x:f t="shared" si="1"/>
        <x:v>0</x:v>
      </x:c>
      <x:c r="I8" s="19" t="str">
        <x:v>Gép</x:v>
      </x:c>
      <x:c r="J8" s="11" t="s">
        <x:v>97</x:v>
      </x:c>
    </x:row>
    <x:row r="9">
      <x:c r="A9" s="8"/>
      <x:c r="B9" s="9" t="str">
        <x:v>csuklós dömper (szállítás - feltöltés zone)</x:v>
      </x:c>
      <x:c r="C9" s="7" t="str">
        <x:v>óra</x:v>
      </x:c>
      <x:c r="D9" s="7">
        <x:v>2.5000000000000001E-2</x:v>
      </x:c>
      <x:c r="E9" s="16" t="n">
        <x:f>E7</x:f>
        <x:v>0</x:v>
      </x:c>
      <x:c r="F9" s="16">
        <x:f t="shared" si="0"/>
        <x:v>0</x:v>
      </x:c>
      <x:c r="G9" s="17">
        <x:v>0</x:v>
      </x:c>
      <x:c r="H9" s="18">
        <x:f t="shared" si="1"/>
        <x:v>0</x:v>
      </x:c>
      <x:c r="I9" s="19" t="str">
        <x:v>Gép</x:v>
      </x:c>
      <x:c r="J9" s="11" t="str">
        <x:v>szállítási távolságtól függ</x:v>
      </x:c>
    </x:row>
    <x:row r="10">
      <x:c r="A10" s="8"/>
      <x:c r="B10" s="9" t="str">
        <x:v>dózer – elterítés és level feltöltés</x:v>
      </x:c>
      <x:c r="C10" s="7" t="str">
        <x:v>óra</x:v>
      </x:c>
      <x:c r="D10" s="7">
        <x:v>0.01</x:v>
      </x:c>
      <x:c r="E10" s="16" t="n">
        <x:f>E7</x:f>
        <x:v>0</x:v>
      </x:c>
      <x:c r="F10" s="16">
        <x:f t="shared" si="0"/>
        <x:v>0</x:v>
      </x:c>
      <x:c r="G10" s="17">
        <x:v>0</x:v>
      </x:c>
      <x:c r="H10" s="18">
        <x:f t="shared" si="1"/>
        <x:v>0</x:v>
      </x:c>
      <x:c r="I10" s="19" t="str">
        <x:v>Gép</x:v>
      </x:c>
      <x:c r="J10" s="8"/>
    </x:row>
    <x:row r="11">
      <x:c r="A11" s="8"/>
      <x:c r="B11" s="9" t="str">
        <x:v>tömörítés – pad foot henger</x:v>
      </x:c>
      <x:c r="C11" s="7" t="str">
        <x:v>óra</x:v>
      </x:c>
      <x:c r="D11" s="7">
        <x:v>8.0000000000000002E-3</x:v>
      </x:c>
      <x:c r="E11" s="16" t="n">
        <x:f>E7</x:f>
        <x:v>0</x:v>
      </x:c>
      <x:c r="F11" s="16">
        <x:f t="shared" si="0"/>
        <x:v>0</x:v>
      </x:c>
      <x:c r="G11" s="17">
        <x:v>0</x:v>
      </x:c>
      <x:c r="H11" s="18">
        <x:f t="shared" si="1"/>
        <x:v>0</x:v>
      </x:c>
      <x:c r="I11" s="19" t="str">
        <x:v>Gép</x:v>
      </x:c>
      <x:c r="J11" s="11" t="s">
        <x:v>98</x:v>
      </x:c>
    </x:row>
    <x:row r="12">
      <x:c r="A12" s="8"/>
      <x:c r="B12" s="9" t="str">
        <x:v>gréder – szegélyprofil rézsűfelületek és formation</x:v>
      </x:c>
      <x:c r="C12" s="7" t="str">
        <x:v>óra</x:v>
      </x:c>
      <x:c r="D12" s="7">
        <x:v>5.0000000000000001E-3</x:v>
      </x:c>
      <x:c r="E12" s="16" t="n">
        <x:f>E7</x:f>
        <x:v>0</x:v>
      </x:c>
      <x:c r="F12" s="16">
        <x:f t="shared" si="0"/>
        <x:v>0</x:v>
      </x:c>
      <x:c r="G12" s="17">
        <x:v>0</x:v>
      </x:c>
      <x:c r="H12" s="18">
        <x:f t="shared" si="1"/>
        <x:v>0</x:v>
      </x:c>
      <x:c r="I12" s="19" t="str">
        <x:v>Gép</x:v>
      </x:c>
      <x:c r="J12" s="8"/>
    </x:row>
    <x:row r="13">
      <x:c r="A13" s="8"/>
      <x:c r="B13" s="9" t="str">
        <x:v>locsolókocsi – nedvességtartalom beállítása</x:v>
      </x:c>
      <x:c r="C13" s="7" t="str">
        <x:v>óra</x:v>
      </x:c>
      <x:c r="D13" s="7">
        <x:v>5.0000000000000001E-3</x:v>
      </x:c>
      <x:c r="E13" s="16" t="n">
        <x:f>E7</x:f>
        <x:v>0</x:v>
      </x:c>
      <x:c r="F13" s="16">
        <x:f t="shared" si="0"/>
        <x:v>0</x:v>
      </x:c>
      <x:c r="G13" s="17">
        <x:v>0</x:v>
      </x:c>
      <x:c r="H13" s="18">
        <x:f t="shared" si="1"/>
        <x:v>0</x:v>
      </x:c>
      <x:c r="I13" s="19" t="str">
        <x:v>Gép</x:v>
      </x:c>
      <x:c r="J13" s="8"/>
    </x:row>
    <x:row r="14">
      <x:c r="A14" s="8"/>
      <x:c r="B14" s="9" t="str">
        <x:v>Labour – gépkezelő</x:v>
      </x:c>
      <x:c r="C14" s="7" t="str">
        <x:v>óra</x:v>
      </x:c>
      <x:c r="D14" s="7">
        <x:v>0.02</x:v>
      </x:c>
      <x:c r="E14" s="16" t="n">
        <x:f>E7</x:f>
        <x:v>0</x:v>
      </x:c>
      <x:c r="F14" s="16">
        <x:f t="shared" si="0"/>
        <x:v>0</x:v>
      </x:c>
      <x:c r="G14" s="17">
        <x:v>0</x:v>
      </x:c>
      <x:c r="H14" s="18">
        <x:f t="shared" si="1"/>
        <x:v>0</x:v>
      </x:c>
      <x:c r="I14" s="19" t="str">
        <x:v>Munkaerő</x:v>
      </x:c>
      <x:c r="J14" s="8"/>
    </x:row>
    <x:row r="15">
      <x:c r="A15" s="8"/>
      <x:c r="B15" s="9" t="str">
        <x:v>Labour – irányító személy / labourer</x:v>
      </x:c>
      <x:c r="C15" s="7" t="str">
        <x:v>óra</x:v>
      </x:c>
      <x:c r="D15" s="7">
        <x:v>0.01</x:v>
      </x:c>
      <x:c r="E15" s="16" t="n">
        <x:f>E7</x:f>
        <x:v>0</x:v>
      </x:c>
      <x:c r="F15" s="16">
        <x:f t="shared" si="0"/>
        <x:v>0</x:v>
      </x:c>
      <x:c r="G15" s="17">
        <x:v>0</x:v>
      </x:c>
      <x:c r="H15" s="18">
        <x:f t="shared" si="1"/>
        <x:v>0</x:v>
      </x:c>
      <x:c r="I15" s="19" t="str">
        <x:v>Munkaerő</x:v>
      </x:c>
      <x:c r="J15" s="8"/>
    </x:row>
    <x:row r="16">
      <x:c r="A16" s="8"/>
      <x:c r="B16" s="9" t="s">
        <x:v>99</x:v>
      </x:c>
      <x:c r="C16" s="7" t="str">
        <x:v>óra</x:v>
      </x:c>
      <x:c r="D16" s="7">
        <x:v>3.0000000000000001E-3</x:v>
      </x:c>
      <x:c r="E16" s="16" t="n">
        <x:f>E7</x:f>
        <x:v>0</x:v>
      </x:c>
      <x:c r="F16" s="16">
        <x:f t="shared" si="0"/>
        <x:v>0</x:v>
      </x:c>
      <x:c r="G16" s="17">
        <x:v>0</x:v>
      </x:c>
      <x:c r="H16" s="18">
        <x:f t="shared" si="1"/>
        <x:v>0</x:v>
      </x:c>
      <x:c r="I16" s="19" t="str">
        <x:v>Geodézia / kitűzés</x:v>
      </x:c>
      <x:c r="J16" s="8"/>
    </x:row>
    <x:row r="17">
      <x:c r="A17" s="8"/>
      <x:c r="B17" s="9" t="str">
        <x:v>rézsűrendezés (allow 15% of vágott felület)</x:v>
      </x:c>
      <x:c r="C17" s="7" t="s">
        <x:v>4</x:v>
      </x:c>
      <x:c r="D17" s="7">
        <x:v>0.15</x:v>
      </x:c>
      <x:c r="E17" s="16" t="n">
        <x:f>E7</x:f>
        <x:v>0</x:v>
      </x:c>
      <x:c r="F17" s="16">
        <x:f t="shared" si="0"/>
        <x:v>0</x:v>
      </x:c>
      <x:c r="G17" s="17">
        <x:v>0</x:v>
      </x:c>
      <x:c r="H17" s="18">
        <x:f t="shared" si="1"/>
        <x:v>0</x:v>
      </x:c>
      <x:c r="I17" s="19" t="s">
        <x:v>100</x:v>
      </x:c>
      <x:c r="J17" s="11" t="str">
        <x:v>1:2 batter = 4.5m felület per 1m of 3m cut</x:v>
      </x:c>
    </x:row>
    <x:row r="18">
      <x:c r="A18" s="8"/>
      <x:c r="B18" s="9" t="str">
        <x:v>Bulking ráhagyás for elszállított material</x:v>
      </x:c>
      <x:c r="C18" s="7" t="s">
        <x:v>1</x:v>
      </x:c>
      <x:c r="D18" s="7">
        <x:v>0.25</x:v>
      </x:c>
      <x:c r="E18" s="16" t="n">
        <x:f>E7</x:f>
        <x:v>0</x:v>
      </x:c>
      <x:c r="F18" s="16">
        <x:f t="shared" si="0"/>
        <x:v>0</x:v>
      </x:c>
      <x:c r="G18" s="17">
        <x:v>0</x:v>
      </x:c>
      <x:c r="H18" s="18">
        <x:f t="shared" si="1"/>
        <x:v>0</x:v>
      </x:c>
      <x:c r="I18" s="19" t="s">
        <x:v>100</x:v>
      </x:c>
      <x:c r="J18" s="11" t="s">
        <x:v>101</x:v>
      </x:c>
    </x:row>
    <x:row r="19">
      <x:c r="A19" s="8"/>
      <x:c r="B19" s="15" t="s">
        <x:v>102</x:v>
      </x:c>
      <x:c r="C19" s="8"/>
      <x:c r="D19" s="8"/>
      <x:c r="E19" s="8"/>
      <x:c r="F19" s="8"/>
      <x:c r="G19" s="8"/>
      <x:c r="H19" s="20" t="n">
        <x:f>SUM(H7:H18)</x:f>
        <x:v>0</x:v>
      </x:c>
      <x:c r="I19" s="8"/>
      <x:c r="J19" s="8"/>
    </x:row>
    <x:row r="21">
      <x:c r="J21" s="13" t="s">
        <x:v>103</x:v>
      </x:c>
    </x:row>
    <x:row r="22">
      <x:c r="A22" s="14" t="s">
        <x:v>96</x:v>
      </x:c>
      <x:c r="B22" s="15" t="str">
        <x:v>csapadékvíz cső – RCP 450mm (1.2-1.8m mélység)</x:v>
      </x:c>
      <x:c r="C22" s="7" t="str">
        <x:v>fm</x:v>
      </x:c>
      <x:c r="D22" s="7">
        <x:v>1</x:v>
      </x:c>
      <x:c r="E22" s="16">
        <x:v>0</x:v>
      </x:c>
      <x:c r="F22" s="16" t="n">
        <x:f t="shared" ref="F22:F34" si="2">D22*E22</x:f>
        <x:v>0</x:v>
      </x:c>
      <x:c r="G22" s="17">
        <x:v>0</x:v>
      </x:c>
      <x:c r="H22" s="18" t="n">
        <x:f t="shared" ref="H22:H34" si="3">F22*G22</x:f>
        <x:v>0</x:v>
      </x:c>
      <x:c r="I22" s="8"/>
      <x:c r="J22" s="8"/>
    </x:row>
    <x:row r="23">
      <x:c r="A23" s="8"/>
      <x:c r="B23" s="9" t="str">
        <x:v>RCP cső 450mm átmérő</x:v>
      </x:c>
      <x:c r="C23" s="7" t="str">
        <x:v>fm</x:v>
      </x:c>
      <x:c r="D23" s="7">
        <x:v>1</x:v>
      </x:c>
      <x:c r="E23" s="16" t="n">
        <x:f>E22</x:f>
        <x:v>0</x:v>
      </x:c>
      <x:c r="F23" s="16">
        <x:f t="shared" si="2"/>
        <x:v>0</x:v>
      </x:c>
      <x:c r="G23" s="17">
        <x:v>0</x:v>
      </x:c>
      <x:c r="H23" s="18">
        <x:f t="shared" si="3"/>
        <x:v>0</x:v>
      </x:c>
      <x:c r="I23" s="19" t="str">
        <x:v>vízelvezetés</x:v>
      </x:c>
      <x:c r="J23" s="11" t="str">
        <x:v>Anyagellátás</x:v>
      </x:c>
    </x:row>
    <x:row r="24">
      <x:c r="A24" s="8"/>
      <x:c r="B24" s="9" t="s">
        <x:v>104</x:v>
      </x:c>
      <x:c r="C24" s="7" t="str">
        <x:v>db</x:v>
      </x:c>
      <x:c r="D24" s="7">
        <x:v>0.42</x:v>
      </x:c>
      <x:c r="E24" s="16" t="n">
        <x:f>E22</x:f>
        <x:v>0</x:v>
      </x:c>
      <x:c r="F24" s="16">
        <x:f t="shared" si="2"/>
        <x:v>0</x:v>
      </x:c>
      <x:c r="G24" s="17">
        <x:v>0</x:v>
      </x:c>
      <x:c r="H24" s="18">
        <x:f t="shared" si="3"/>
        <x:v>0</x:v>
      </x:c>
      <x:c r="I24" s="19" t="str">
        <x:v>vízelvezetés</x:v>
      </x:c>
      <x:c r="J24" s="11" t="str">
        <x:v>1 per 2.4m cső</x:v>
      </x:c>
    </x:row>
    <x:row r="25">
      <x:c r="A25" s="8"/>
      <x:c r="B25" s="9" t="str">
        <x:v>munkaárok kiemelés (0.9m széles × 1.5m átlagos)</x:v>
      </x:c>
      <x:c r="C25" s="7" t="s">
        <x:v>1</x:v>
      </x:c>
      <x:c r="D25" s="7">
        <x:v>1.35</x:v>
      </x:c>
      <x:c r="E25" s="16" t="n">
        <x:f>E22</x:f>
        <x:v>0</x:v>
      </x:c>
      <x:c r="F25" s="16">
        <x:f t="shared" si="2"/>
        <x:v>0</x:v>
      </x:c>
      <x:c r="G25" s="17">
        <x:v>0</x:v>
      </x:c>
      <x:c r="H25" s="18">
        <x:f t="shared" si="3"/>
        <x:v>0</x:v>
      </x:c>
      <x:c r="I25" s="19" t="s">
        <x:v>100</x:v>
      </x:c>
      <x:c r="J25" s="11" t="str">
        <x:v>0.9m × 1.5m átlagos. No rézsűfelületek szükséges</x:v>
      </x:c>
    </x:row>
    <x:row r="26">
      <x:c r="A26" s="8"/>
      <x:c r="B26" s="9" t="str">
        <x:v>ágyazat – 20mm crushed rock (100mm bed)</x:v>
      </x:c>
      <x:c r="C26" s="7" t="s">
        <x:v>1</x:v>
      </x:c>
      <x:c r="D26" s="7">
        <x:v>0.09</x:v>
      </x:c>
      <x:c r="E26" s="16" t="n">
        <x:f>E22</x:f>
        <x:v>0</x:v>
      </x:c>
      <x:c r="F26" s="16">
        <x:f t="shared" si="2"/>
        <x:v>0</x:v>
      </x:c>
      <x:c r="G26" s="17">
        <x:v>0</x:v>
      </x:c>
      <x:c r="H26" s="18">
        <x:f t="shared" si="3"/>
        <x:v>0</x:v>
      </x:c>
      <x:c r="I26" s="19" t="str">
        <x:v>Anyag</x:v>
      </x:c>
      <x:c r="J26" s="11" t="s">
        <x:v>105</x:v>
      </x:c>
    </x:row>
    <x:row r="27">
      <x:c r="A27" s="8"/>
      <x:c r="B27" s="9" t="str">
        <x:v>megtámasztó váll material – - 300mm cső felett</x:v>
      </x:c>
      <x:c r="C27" s="7" t="s">
        <x:v>1</x:v>
      </x:c>
      <x:c r="D27" s="7">
        <x:v>0.25</x:v>
      </x:c>
      <x:c r="E27" s="16" t="n">
        <x:f>E22</x:f>
        <x:v>0</x:v>
      </x:c>
      <x:c r="F27" s="16">
        <x:f t="shared" si="2"/>
        <x:v>0</x:v>
      </x:c>
      <x:c r="G27" s="17">
        <x:v>0</x:v>
      </x:c>
      <x:c r="H27" s="18">
        <x:f t="shared" si="3"/>
        <x:v>0</x:v>
      </x:c>
      <x:c r="I27" s="19" t="str">
        <x:v>Anyag</x:v>
      </x:c>
      <x:c r="J27" s="11" t="str">
        <x:v>beszállított szemcsés</x:v>
      </x:c>
    </x:row>
    <x:row r="28">
      <x:c r="A28" s="8"/>
      <x:c r="B28" s="9" t="str">
        <x:v>visszatöltés – helyszínen nyert (cső felett zone)</x:v>
      </x:c>
      <x:c r="C28" s="7" t="s">
        <x:v>1</x:v>
      </x:c>
      <x:c r="D28" s="7">
        <x:v>0.8</x:v>
      </x:c>
      <x:c r="E28" s="16" t="n">
        <x:f>E22</x:f>
        <x:v>0</x:v>
      </x:c>
      <x:c r="F28" s="16">
        <x:f t="shared" si="2"/>
        <x:v>0</x:v>
      </x:c>
      <x:c r="G28" s="17">
        <x:v>0</x:v>
      </x:c>
      <x:c r="H28" s="18">
        <x:f t="shared" si="3"/>
        <x:v>0</x:v>
      </x:c>
      <x:c r="I28" s="19" t="s">
        <x:v>100</x:v>
      </x:c>
      <x:c r="J28" s="11" t="str">
        <x:v>Balance of munkaárok</x:v>
      </x:c>
    </x:row>
    <x:row r="29">
      <x:c r="A29" s="8"/>
      <x:c r="B29" s="9" t="str">
        <x:v>tömörítés – munkaárok (150mm layers)</x:v>
      </x:c>
      <x:c r="C29" s="7" t="str">
        <x:v>fm</x:v>
      </x:c>
      <x:c r="D29" s="7">
        <x:v>1</x:v>
      </x:c>
      <x:c r="E29" s="16" t="n">
        <x:f>E22</x:f>
        <x:v>0</x:v>
      </x:c>
      <x:c r="F29" s="16">
        <x:f t="shared" si="2"/>
        <x:v>0</x:v>
      </x:c>
      <x:c r="G29" s="17">
        <x:v>0</x:v>
      </x:c>
      <x:c r="H29" s="18">
        <x:f t="shared" si="3"/>
        <x:v>0</x:v>
      </x:c>
      <x:c r="I29" s="19" t="s">
        <x:v>100</x:v>
      </x:c>
      <x:c r="J29" s="8"/>
    </x:row>
    <x:row r="30">
      <x:c r="A30" s="8"/>
      <x:c r="B30" s="9" t="str">
        <x:v>Labour – cső layer</x:v>
      </x:c>
      <x:c r="C30" s="7" t="str">
        <x:v>óra</x:v>
      </x:c>
      <x:c r="D30" s="7">
        <x:v>0.2</x:v>
      </x:c>
      <x:c r="E30" s="16" t="n">
        <x:f>E22</x:f>
        <x:v>0</x:v>
      </x:c>
      <x:c r="F30" s="16">
        <x:f t="shared" si="2"/>
        <x:v>0</x:v>
      </x:c>
      <x:c r="G30" s="17">
        <x:v>0</x:v>
      </x:c>
      <x:c r="H30" s="18">
        <x:f t="shared" si="3"/>
        <x:v>0</x:v>
      </x:c>
      <x:c r="I30" s="19" t="str">
        <x:v>Munkaerő</x:v>
      </x:c>
      <x:c r="J30" s="8"/>
    </x:row>
    <x:row r="31">
      <x:c r="A31" s="8"/>
      <x:c r="B31" s="9" t="s">
        <x:v>106</x:v>
      </x:c>
      <x:c r="C31" s="7" t="str">
        <x:v>óra</x:v>
      </x:c>
      <x:c r="D31" s="7">
        <x:v>0.4</x:v>
      </x:c>
      <x:c r="E31" s="16" t="n">
        <x:f>E22</x:f>
        <x:v>0</x:v>
      </x:c>
      <x:c r="F31" s="16">
        <x:f t="shared" si="2"/>
        <x:v>0</x:v>
      </x:c>
      <x:c r="G31" s="17">
        <x:v>0</x:v>
      </x:c>
      <x:c r="H31" s="18">
        <x:f t="shared" si="3"/>
        <x:v>0</x:v>
      </x:c>
      <x:c r="I31" s="19" t="str">
        <x:v>Munkaerő</x:v>
      </x:c>
      <x:c r="J31" s="8"/>
    </x:row>
    <x:row r="32">
      <x:c r="A32" s="8"/>
      <x:c r="B32" s="9" t="str">
        <x:v>kotró (8t)</x:v>
      </x:c>
      <x:c r="C32" s="7" t="str">
        <x:v>óra</x:v>
      </x:c>
      <x:c r="D32" s="7">
        <x:v>0.15</x:v>
      </x:c>
      <x:c r="E32" s="16" t="n">
        <x:f>E22</x:f>
        <x:v>0</x:v>
      </x:c>
      <x:c r="F32" s="16">
        <x:f t="shared" si="2"/>
        <x:v>0</x:v>
      </x:c>
      <x:c r="G32" s="17">
        <x:v>0</x:v>
      </x:c>
      <x:c r="H32" s="18">
        <x:f t="shared" si="3"/>
        <x:v>0</x:v>
      </x:c>
      <x:c r="I32" s="19" t="str">
        <x:v>Gép</x:v>
      </x:c>
      <x:c r="J32" s="8"/>
    </x:row>
    <x:row r="33">
      <x:c r="A33" s="8"/>
      <x:c r="B33" s="9" t="s">
        <x:v>107</x:v>
      </x:c>
      <x:c r="C33" s="7" t="str">
        <x:v>óra</x:v>
      </x:c>
      <x:c r="D33" s="7">
        <x:v>0.1</x:v>
      </x:c>
      <x:c r="E33" s="16" t="n">
        <x:f>E22</x:f>
        <x:v>0</x:v>
      </x:c>
      <x:c r="F33" s="16">
        <x:f t="shared" si="2"/>
        <x:v>0</x:v>
      </x:c>
      <x:c r="G33" s="17">
        <x:v>0</x:v>
      </x:c>
      <x:c r="H33" s="18">
        <x:f t="shared" si="3"/>
        <x:v>0</x:v>
      </x:c>
      <x:c r="I33" s="19" t="str">
        <x:v>Gép</x:v>
      </x:c>
      <x:c r="J33" s="8"/>
    </x:row>
    <x:row r="34">
      <x:c r="A34" s="8"/>
      <x:c r="B34" s="9" t="str">
        <x:v>cső laser</x:v>
      </x:c>
      <x:c r="C34" s="7" t="str">
        <x:v>óra</x:v>
      </x:c>
      <x:c r="D34" s="7">
        <x:v>0.05</x:v>
      </x:c>
      <x:c r="E34" s="16" t="n">
        <x:f>E22</x:f>
        <x:v>0</x:v>
      </x:c>
      <x:c r="F34" s="16">
        <x:f t="shared" si="2"/>
        <x:v>0</x:v>
      </x:c>
      <x:c r="G34" s="17">
        <x:v>0</x:v>
      </x:c>
      <x:c r="H34" s="18">
        <x:f t="shared" si="3"/>
        <x:v>0</x:v>
      </x:c>
      <x:c r="I34" s="19" t="str">
        <x:v>Gép</x:v>
      </x:c>
      <x:c r="J34" s="8"/>
    </x:row>
    <x:row r="35">
      <x:c r="A35" s="8"/>
      <x:c r="B35" s="15" t="s">
        <x:v>108</x:v>
      </x:c>
      <x:c r="C35" s="8"/>
      <x:c r="D35" s="8"/>
      <x:c r="E35" s="8"/>
      <x:c r="F35" s="8"/>
      <x:c r="G35" s="8"/>
      <x:c r="H35" s="20" t="n">
        <x:f>SUM(H22:H34)</x:f>
        <x:v>0</x:v>
      </x:c>
      <x:c r="I35" s="8"/>
      <x:c r="J35" s="8"/>
    </x:row>
    <x:row r="37">
      <x:c r="J37" s="13" t="str">
        <x:v>QTO Ref 3.1 (mély)</x:v>
      </x:c>
    </x:row>
    <x:row r="38">
      <x:c r="A38" s="14" t="s">
        <x:v>96</x:v>
      </x:c>
      <x:c r="B38" s="15" t="str">
        <x:v>csapadékvíz cső – RCP 450mm (1.8-3.0m mélység)</x:v>
      </x:c>
      <x:c r="C38" s="7" t="str">
        <x:v>fm</x:v>
      </x:c>
      <x:c r="D38" s="7">
        <x:v>1</x:v>
      </x:c>
      <x:c r="E38" s="16">
        <x:v>0</x:v>
      </x:c>
      <x:c r="F38" s="16" t="n">
        <x:f t="shared" ref="F38:F53" si="4">D38*E38</x:f>
        <x:v>0</x:v>
      </x:c>
      <x:c r="G38" s="17">
        <x:v>0</x:v>
      </x:c>
      <x:c r="H38" s="18" t="n">
        <x:f t="shared" ref="H38:H53" si="5">F38*G38</x:f>
        <x:v>0</x:v>
      </x:c>
      <x:c r="I38" s="8"/>
      <x:c r="J38" s="8"/>
    </x:row>
    <x:row r="39">
      <x:c r="A39" s="8"/>
      <x:c r="B39" s="9" t="str">
        <x:v>RCP cső 450mm átmérő</x:v>
      </x:c>
      <x:c r="C39" s="7" t="str">
        <x:v>fm</x:v>
      </x:c>
      <x:c r="D39" s="7">
        <x:v>1</x:v>
      </x:c>
      <x:c r="E39" s="16" t="n">
        <x:f>E38</x:f>
        <x:v>0</x:v>
      </x:c>
      <x:c r="F39" s="16">
        <x:f t="shared" si="4"/>
        <x:v>0</x:v>
      </x:c>
      <x:c r="G39" s="17">
        <x:v>0</x:v>
      </x:c>
      <x:c r="H39" s="18">
        <x:f t="shared" si="5"/>
        <x:v>0</x:v>
      </x:c>
      <x:c r="I39" s="19" t="str">
        <x:v>vízelvezetés</x:v>
      </x:c>
      <x:c r="J39" s="11" t="str">
        <x:v>Anyagellátás</x:v>
      </x:c>
    </x:row>
    <x:row r="40">
      <x:c r="A40" s="8"/>
      <x:c r="B40" s="9" t="s">
        <x:v>104</x:v>
      </x:c>
      <x:c r="C40" s="7" t="str">
        <x:v>db</x:v>
      </x:c>
      <x:c r="D40" s="7">
        <x:v>0.42</x:v>
      </x:c>
      <x:c r="E40" s="16" t="n">
        <x:f>E38</x:f>
        <x:v>0</x:v>
      </x:c>
      <x:c r="F40" s="16">
        <x:f t="shared" si="4"/>
        <x:v>0</x:v>
      </x:c>
      <x:c r="G40" s="17">
        <x:v>0</x:v>
      </x:c>
      <x:c r="H40" s="18">
        <x:f t="shared" si="5"/>
        <x:v>0</x:v>
      </x:c>
      <x:c r="I40" s="19" t="str">
        <x:v>vízelvezetés</x:v>
      </x:c>
      <x:c r="J40" s="11" t="str">
        <x:v>1 per 2.4m cső</x:v>
      </x:c>
    </x:row>
    <x:row r="41">
      <x:c r="A41" s="8"/>
      <x:c r="B41" s="9" t="str">
        <x:v>munkaárok kiemelés (1.5m széles × 2.4m átlagos)</x:v>
      </x:c>
      <x:c r="C41" s="7" t="s">
        <x:v>1</x:v>
      </x:c>
      <x:c r="D41" s="7">
        <x:v>3.6</x:v>
      </x:c>
      <x:c r="E41" s="16" t="n">
        <x:f>E38</x:f>
        <x:v>0</x:v>
      </x:c>
      <x:c r="F41" s="16">
        <x:f t="shared" si="4"/>
        <x:v>0</x:v>
      </x:c>
      <x:c r="G41" s="17">
        <x:v>0</x:v>
      </x:c>
      <x:c r="H41" s="18">
        <x:f t="shared" si="5"/>
        <x:v>0</x:v>
      </x:c>
      <x:c r="I41" s="19" t="s">
        <x:v>100</x:v>
      </x:c>
      <x:c r="J41" s="11" t="str">
        <x:v>1.5m széles (rézsűfelületek) × 2.4m átlagos mélység</x:v>
      </x:c>
    </x:row>
    <x:row r="42">
      <x:c r="A42" s="8"/>
      <x:c r="B42" s="9" t="str">
        <x:v>munkaárok shoring</x:v>
      </x:c>
      <x:c r="C42" s="7" t="str">
        <x:v>fm</x:v>
      </x:c>
      <x:c r="D42" s="7">
        <x:v>1</x:v>
      </x:c>
      <x:c r="E42" s="16" t="n">
        <x:f>E38</x:f>
        <x:v>0</x:v>
      </x:c>
      <x:c r="F42" s="16">
        <x:f t="shared" si="4"/>
        <x:v>0</x:v>
      </x:c>
      <x:c r="G42" s="17">
        <x:v>0</x:v>
      </x:c>
      <x:c r="H42" s="18">
        <x:f t="shared" si="5"/>
        <x:v>0</x:v>
      </x:c>
      <x:c r="I42" s="19" t="s">
        <x:v>109</x:v>
      </x:c>
      <x:c r="J42" s="11" t="str">
        <x:v>szükséges &gt;1.5m mélység</x:v>
      </x:c>
    </x:row>
    <x:row r="43">
      <x:c r="A43" s="8"/>
      <x:c r="B43" s="9" t="str">
        <x:v>víztelenítés ráhagyás (20% of length)</x:v>
      </x:c>
      <x:c r="C43" s="7" t="str">
        <x:v>fm</x:v>
      </x:c>
      <x:c r="D43" s="7">
        <x:v>0.2</x:v>
      </x:c>
      <x:c r="E43" s="16" t="n">
        <x:f>E38</x:f>
        <x:v>0</x:v>
      </x:c>
      <x:c r="F43" s="16">
        <x:f t="shared" si="4"/>
        <x:v>0</x:v>
      </x:c>
      <x:c r="G43" s="17">
        <x:v>0</x:v>
      </x:c>
      <x:c r="H43" s="18">
        <x:f t="shared" si="5"/>
        <x:v>0</x:v>
      </x:c>
      <x:c r="I43" s="19" t="s">
        <x:v>109</x:v>
      </x:c>
      <x:c r="J43" s="11" t="str">
        <x:v>Where víz table intersects</x:v>
      </x:c>
    </x:row>
    <x:row r="44">
      <x:c r="A44" s="8"/>
      <x:c r="B44" s="9" t="str">
        <x:v>ágyazat – 20mm crushed rock (100mm bed)</x:v>
      </x:c>
      <x:c r="C44" s="7" t="s">
        <x:v>1</x:v>
      </x:c>
      <x:c r="D44" s="7">
        <x:v>0.15</x:v>
      </x:c>
      <x:c r="E44" s="16" t="n">
        <x:f>E38</x:f>
        <x:v>0</x:v>
      </x:c>
      <x:c r="F44" s="16">
        <x:f t="shared" si="4"/>
        <x:v>0</x:v>
      </x:c>
      <x:c r="G44" s="17">
        <x:v>0</x:v>
      </x:c>
      <x:c r="H44" s="18">
        <x:f t="shared" si="5"/>
        <x:v>0</x:v>
      </x:c>
      <x:c r="I44" s="19" t="str">
        <x:v>Anyag</x:v>
      </x:c>
      <x:c r="J44" s="11" t="s">
        <x:v>110</x:v>
      </x:c>
    </x:row>
    <x:row r="45">
      <x:c r="A45" s="8"/>
      <x:c r="B45" s="9" t="str">
        <x:v>megtámasztó váll material – - 300mm cső felett</x:v>
      </x:c>
      <x:c r="C45" s="7" t="s">
        <x:v>1</x:v>
      </x:c>
      <x:c r="D45" s="7">
        <x:v>0.4</x:v>
      </x:c>
      <x:c r="E45" s="16" t="n">
        <x:f>E38</x:f>
        <x:v>0</x:v>
      </x:c>
      <x:c r="F45" s="16">
        <x:f t="shared" si="4"/>
        <x:v>0</x:v>
      </x:c>
      <x:c r="G45" s="17">
        <x:v>0</x:v>
      </x:c>
      <x:c r="H45" s="18">
        <x:f t="shared" si="5"/>
        <x:v>0</x:v>
      </x:c>
      <x:c r="I45" s="19" t="str">
        <x:v>Anyag</x:v>
      </x:c>
      <x:c r="J45" s="11" t="str">
        <x:v>Wider munkaárok = more megtámasztó váll</x:v>
      </x:c>
    </x:row>
    <x:row r="46">
      <x:c r="A46" s="8"/>
      <x:c r="B46" s="9" t="str">
        <x:v>visszatöltés – helyszínen nyert (cső felett zone)</x:v>
      </x:c>
      <x:c r="C46" s="7" t="s">
        <x:v>1</x:v>
      </x:c>
      <x:c r="D46" s="7">
        <x:v>2.8</x:v>
      </x:c>
      <x:c r="E46" s="16" t="n">
        <x:f>E38</x:f>
        <x:v>0</x:v>
      </x:c>
      <x:c r="F46" s="16">
        <x:f t="shared" si="4"/>
        <x:v>0</x:v>
      </x:c>
      <x:c r="G46" s="17">
        <x:v>0</x:v>
      </x:c>
      <x:c r="H46" s="18">
        <x:f t="shared" si="5"/>
        <x:v>0</x:v>
      </x:c>
      <x:c r="I46" s="19" t="s">
        <x:v>100</x:v>
      </x:c>
      <x:c r="J46" s="11" t="s">
        <x:v>111</x:v>
      </x:c>
    </x:row>
    <x:row r="47">
      <x:c r="A47" s="8"/>
      <x:c r="B47" s="9" t="str">
        <x:v>tömörítés – munkaárok (150mm layers)</x:v>
      </x:c>
      <x:c r="C47" s="7" t="str">
        <x:v>fm</x:v>
      </x:c>
      <x:c r="D47" s="7">
        <x:v>1</x:v>
      </x:c>
      <x:c r="E47" s="16" t="n">
        <x:f>E38</x:f>
        <x:v>0</x:v>
      </x:c>
      <x:c r="F47" s="16">
        <x:f t="shared" si="4"/>
        <x:v>0</x:v>
      </x:c>
      <x:c r="G47" s="17">
        <x:v>0</x:v>
      </x:c>
      <x:c r="H47" s="18">
        <x:f t="shared" si="5"/>
        <x:v>0</x:v>
      </x:c>
      <x:c r="I47" s="19" t="s">
        <x:v>100</x:v>
      </x:c>
      <x:c r="J47" s="11" t="s">
        <x:v>112</x:v>
      </x:c>
    </x:row>
    <x:row r="48">
      <x:c r="A48" s="8"/>
      <x:c r="B48" s="9" t="str">
        <x:v>Geotextile wrapping (magas víz table)</x:v>
      </x:c>
      <x:c r="C48" s="7" t="s">
        <x:v>4</x:v>
      </x:c>
      <x:c r="D48" s="7">
        <x:v>0.5</x:v>
      </x:c>
      <x:c r="E48" s="16" t="n">
        <x:f>E38</x:f>
        <x:v>0</x:v>
      </x:c>
      <x:c r="F48" s="16">
        <x:f t="shared" si="4"/>
        <x:v>0</x:v>
      </x:c>
      <x:c r="G48" s="17">
        <x:v>0</x:v>
      </x:c>
      <x:c r="H48" s="18">
        <x:f t="shared" si="5"/>
        <x:v>0</x:v>
      </x:c>
      <x:c r="I48" s="19" t="str">
        <x:v>Anyag</x:v>
      </x:c>
      <x:c r="J48" s="11" t="str">
        <x:v>If szükséges</x:v>
      </x:c>
    </x:row>
    <x:row r="49">
      <x:c r="A49" s="8"/>
      <x:c r="B49" s="9" t="str">
        <x:v>Labour – cső layer</x:v>
      </x:c>
      <x:c r="C49" s="7" t="str">
        <x:v>óra</x:v>
      </x:c>
      <x:c r="D49" s="7">
        <x:v>0.3</x:v>
      </x:c>
      <x:c r="E49" s="16" t="n">
        <x:f>E38</x:f>
        <x:v>0</x:v>
      </x:c>
      <x:c r="F49" s="16">
        <x:f t="shared" si="4"/>
        <x:v>0</x:v>
      </x:c>
      <x:c r="G49" s="17">
        <x:v>0</x:v>
      </x:c>
      <x:c r="H49" s="18">
        <x:f t="shared" si="5"/>
        <x:v>0</x:v>
      </x:c>
      <x:c r="I49" s="19" t="str">
        <x:v>Munkaerő</x:v>
      </x:c>
      <x:c r="J49" s="11" t="str">
        <x:v>Slower at mélység</x:v>
      </x:c>
    </x:row>
    <x:row r="50">
      <x:c r="A50" s="8"/>
      <x:c r="B50" s="9" t="s">
        <x:v>106</x:v>
      </x:c>
      <x:c r="C50" s="7" t="str">
        <x:v>óra</x:v>
      </x:c>
      <x:c r="D50" s="7">
        <x:v>0.6</x:v>
      </x:c>
      <x:c r="E50" s="16" t="n">
        <x:f>E38</x:f>
        <x:v>0</x:v>
      </x:c>
      <x:c r="F50" s="16">
        <x:f t="shared" si="4"/>
        <x:v>0</x:v>
      </x:c>
      <x:c r="G50" s="17">
        <x:v>0</x:v>
      </x:c>
      <x:c r="H50" s="18">
        <x:f t="shared" si="5"/>
        <x:v>0</x:v>
      </x:c>
      <x:c r="I50" s="19" t="str">
        <x:v>Munkaerő</x:v>
      </x:c>
      <x:c r="J50" s="8"/>
    </x:row>
    <x:row r="51">
      <x:c r="A51" s="8"/>
      <x:c r="B51" s="9" t="str">
        <x:v>kotró (14t)</x:v>
      </x:c>
      <x:c r="C51" s="7" t="str">
        <x:v>óra</x:v>
      </x:c>
      <x:c r="D51" s="7">
        <x:v>0.25</x:v>
      </x:c>
      <x:c r="E51" s="16" t="n">
        <x:f>E38</x:f>
        <x:v>0</x:v>
      </x:c>
      <x:c r="F51" s="16">
        <x:f t="shared" si="4"/>
        <x:v>0</x:v>
      </x:c>
      <x:c r="G51" s="17">
        <x:v>0</x:v>
      </x:c>
      <x:c r="H51" s="18">
        <x:f t="shared" si="5"/>
        <x:v>0</x:v>
      </x:c>
      <x:c r="I51" s="19" t="str">
        <x:v>Gép</x:v>
      </x:c>
      <x:c r="J51" s="11" t="str">
        <x:v>Larger machine for mélység</x:v>
      </x:c>
    </x:row>
    <x:row r="52">
      <x:c r="A52" s="8"/>
      <x:c r="B52" s="9" t="str">
        <x:v>munkaárok henger / compactor</x:v>
      </x:c>
      <x:c r="C52" s="7" t="str">
        <x:v>óra</x:v>
      </x:c>
      <x:c r="D52" s="7">
        <x:v>0.15</x:v>
      </x:c>
      <x:c r="E52" s="16" t="n">
        <x:f>E38</x:f>
        <x:v>0</x:v>
      </x:c>
      <x:c r="F52" s="16">
        <x:f t="shared" si="4"/>
        <x:v>0</x:v>
      </x:c>
      <x:c r="G52" s="17">
        <x:v>0</x:v>
      </x:c>
      <x:c r="H52" s="18">
        <x:f t="shared" si="5"/>
        <x:v>0</x:v>
      </x:c>
      <x:c r="I52" s="19" t="str">
        <x:v>Gép</x:v>
      </x:c>
      <x:c r="J52" s="8"/>
    </x:row>
    <x:row r="53">
      <x:c r="A53" s="8"/>
      <x:c r="B53" s="9" t="str">
        <x:v>cső laser</x:v>
      </x:c>
      <x:c r="C53" s="7" t="str">
        <x:v>óra</x:v>
      </x:c>
      <x:c r="D53" s="7">
        <x:v>0.05</x:v>
      </x:c>
      <x:c r="E53" s="16" t="n">
        <x:f>E38</x:f>
        <x:v>0</x:v>
      </x:c>
      <x:c r="F53" s="16">
        <x:f t="shared" si="4"/>
        <x:v>0</x:v>
      </x:c>
      <x:c r="G53" s="17">
        <x:v>0</x:v>
      </x:c>
      <x:c r="H53" s="18">
        <x:f t="shared" si="5"/>
        <x:v>0</x:v>
      </x:c>
      <x:c r="I53" s="19" t="str">
        <x:v>Gép</x:v>
      </x:c>
      <x:c r="J53" s="8"/>
    </x:row>
    <x:row r="54">
      <x:c r="A54" s="8"/>
      <x:c r="B54" s="15" t="s">
        <x:v>113</x:v>
      </x:c>
      <x:c r="C54" s="8"/>
      <x:c r="D54" s="8"/>
      <x:c r="E54" s="8"/>
      <x:c r="F54" s="8"/>
      <x:c r="G54" s="8"/>
      <x:c r="H54" s="20" t="n">
        <x:f>SUM(H38:H53)</x:f>
        <x:v>0</x:v>
      </x:c>
      <x:c r="I54" s="8"/>
      <x:c r="J54" s="8"/>
    </x:row>
    <x:row r="56">
      <x:c r="J56" s="13" t="s">
        <x:v>114</x:v>
      </x:c>
    </x:row>
    <x:row r="57">
      <x:c r="A57" s="14" t="s">
        <x:v>96</x:v>
      </x:c>
      <x:c r="B57" s="15" t="str">
        <x:v>csapadékvíz csatlakozó akna (900×600, 1.2m mély)</x:v>
      </x:c>
      <x:c r="C57" s="7" t="str">
        <x:v>db</x:v>
      </x:c>
      <x:c r="D57" s="7">
        <x:v>1</x:v>
      </x:c>
      <x:c r="E57" s="16">
        <x:v>0</x:v>
      </x:c>
      <x:c r="F57" s="16" t="n">
        <x:f t="shared" ref="F57:F69" si="6">D57*E57</x:f>
        <x:v>0</x:v>
      </x:c>
      <x:c r="G57" s="17">
        <x:v>0</x:v>
      </x:c>
      <x:c r="H57" s="18" t="n">
        <x:f t="shared" ref="H57:H69" si="7">F57*G57</x:f>
        <x:v>0</x:v>
      </x:c>
      <x:c r="I57" s="8"/>
      <x:c r="J57" s="8"/>
    </x:row>
    <x:row r="58">
      <x:c r="A58" s="8"/>
      <x:c r="B58" s="9" t="str">
        <x:v>előregyártott akna base + felszállások</x:v>
      </x:c>
      <x:c r="C58" s="7" t="str">
        <x:v>db</x:v>
      </x:c>
      <x:c r="D58" s="7">
        <x:v>1</x:v>
      </x:c>
      <x:c r="E58" s="16" t="n">
        <x:f>E57</x:f>
        <x:v>0</x:v>
      </x:c>
      <x:c r="F58" s="16">
        <x:f t="shared" si="6"/>
        <x:v>0</x:v>
      </x:c>
      <x:c r="G58" s="17">
        <x:v>0</x:v>
      </x:c>
      <x:c r="H58" s="18">
        <x:f t="shared" si="7"/>
        <x:v>0</x:v>
      </x:c>
      <x:c r="I58" s="19" t="str">
        <x:v>vízelvezetés</x:v>
      </x:c>
      <x:c r="J58" s="8"/>
    </x:row>
    <x:row r="59">
      <x:c r="A59" s="8"/>
      <x:c r="B59" s="9" t="str">
        <x:v>rácsos fedlap / fedlap (osztály D forgalomterhelhető)</x:v>
      </x:c>
      <x:c r="C59" s="7" t="str">
        <x:v>db</x:v>
      </x:c>
      <x:c r="D59" s="7">
        <x:v>1</x:v>
      </x:c>
      <x:c r="E59" s="16" t="n">
        <x:f>E57</x:f>
        <x:v>0</x:v>
      </x:c>
      <x:c r="F59" s="16">
        <x:f t="shared" si="6"/>
        <x:v>0</x:v>
      </x:c>
      <x:c r="G59" s="17">
        <x:v>0</x:v>
      </x:c>
      <x:c r="H59" s="18">
        <x:f t="shared" si="7"/>
        <x:v>0</x:v>
      </x:c>
      <x:c r="I59" s="19" t="str">
        <x:v>vízelvezetés</x:v>
      </x:c>
      <x:c r="J59" s="8"/>
    </x:row>
    <x:row r="60">
      <x:c r="A60" s="8"/>
      <x:c r="B60" s="9" t="s">
        <x:v>115</x:v>
      </x:c>
      <x:c r="C60" s="7" t="str">
        <x:v>db</x:v>
      </x:c>
      <x:c r="D60" s="7">
        <x:v>3</x:v>
      </x:c>
      <x:c r="E60" s="16" t="n">
        <x:f>E57</x:f>
        <x:v>0</x:v>
      </x:c>
      <x:c r="F60" s="16">
        <x:f t="shared" si="6"/>
        <x:v>0</x:v>
      </x:c>
      <x:c r="G60" s="17">
        <x:v>0</x:v>
      </x:c>
      <x:c r="H60" s="18">
        <x:f t="shared" si="7"/>
        <x:v>0</x:v>
      </x:c>
      <x:c r="I60" s="19" t="str">
        <x:v>vízelvezetés</x:v>
      </x:c>
      <x:c r="J60" s="11" t="s">
        <x:v>116</x:v>
      </x:c>
    </x:row>
    <x:row r="61">
      <x:c r="A61" s="8"/>
      <x:c r="B61" s="9" t="str">
        <x:v>cső connections / core holes</x:v>
      </x:c>
      <x:c r="C61" s="7" t="str">
        <x:v>db</x:v>
      </x:c>
      <x:c r="D61" s="7">
        <x:v>3</x:v>
      </x:c>
      <x:c r="E61" s="16" t="n">
        <x:f>E57</x:f>
        <x:v>0</x:v>
      </x:c>
      <x:c r="F61" s="16">
        <x:f t="shared" si="6"/>
        <x:v>0</x:v>
      </x:c>
      <x:c r="G61" s="17">
        <x:v>0</x:v>
      </x:c>
      <x:c r="H61" s="18">
        <x:f t="shared" si="7"/>
        <x:v>0</x:v>
      </x:c>
      <x:c r="I61" s="19" t="str">
        <x:v>vízelvezetés</x:v>
      </x:c>
      <x:c r="J61" s="11" t="str">
        <x:v>átlagos 3 pipes per akna</x:v>
      </x:c>
    </x:row>
    <x:row r="62">
      <x:c r="A62" s="8"/>
      <x:c r="B62" s="9" t="str">
        <x:v>lépcsőzés / haunching (concrete)</x:v>
      </x:c>
      <x:c r="C62" s="7" t="s">
        <x:v>1</x:v>
      </x:c>
      <x:c r="D62" s="7">
        <x:v>0.15</x:v>
      </x:c>
      <x:c r="E62" s="16" t="n">
        <x:f>E57</x:f>
        <x:v>0</x:v>
      </x:c>
      <x:c r="F62" s="16">
        <x:f t="shared" si="6"/>
        <x:v>0</x:v>
      </x:c>
      <x:c r="G62" s="17">
        <x:v>0</x:v>
      </x:c>
      <x:c r="H62" s="18">
        <x:f t="shared" si="7"/>
        <x:v>0</x:v>
      </x:c>
      <x:c r="I62" s="19" t="str">
        <x:v>Beton</x:v>
      </x:c>
      <x:c r="J62" s="8"/>
    </x:row>
    <x:row r="63">
      <x:c r="A63" s="8"/>
      <x:c r="B63" s="9" t="str">
        <x:v>kiemelés for akna</x:v>
      </x:c>
      <x:c r="C63" s="7" t="s">
        <x:v>1</x:v>
      </x:c>
      <x:c r="D63" s="7">
        <x:v>1.5</x:v>
      </x:c>
      <x:c r="E63" s="16" t="n">
        <x:f>E57</x:f>
        <x:v>0</x:v>
      </x:c>
      <x:c r="F63" s="16">
        <x:f t="shared" si="6"/>
        <x:v>0</x:v>
      </x:c>
      <x:c r="G63" s="17">
        <x:v>0</x:v>
      </x:c>
      <x:c r="H63" s="18">
        <x:f t="shared" si="7"/>
        <x:v>0</x:v>
      </x:c>
      <x:c r="I63" s="19" t="s">
        <x:v>100</x:v>
      </x:c>
      <x:c r="J63" s="8"/>
    </x:row>
    <x:row r="64">
      <x:c r="A64" s="8"/>
      <x:c r="B64" s="9" t="str">
        <x:v>ágyazat – 100mm crushed rock</x:v>
      </x:c>
      <x:c r="C64" s="7" t="s">
        <x:v>1</x:v>
      </x:c>
      <x:c r="D64" s="7">
        <x:v>0.12</x:v>
      </x:c>
      <x:c r="E64" s="16" t="n">
        <x:f>E57</x:f>
        <x:v>0</x:v>
      </x:c>
      <x:c r="F64" s="16">
        <x:f t="shared" si="6"/>
        <x:v>0</x:v>
      </x:c>
      <x:c r="G64" s="17">
        <x:v>0</x:v>
      </x:c>
      <x:c r="H64" s="18">
        <x:f t="shared" si="7"/>
        <x:v>0</x:v>
      </x:c>
      <x:c r="I64" s="19" t="str">
        <x:v>Anyag</x:v>
      </x:c>
      <x:c r="J64" s="8"/>
    </x:row>
    <x:row r="65">
      <x:c r="A65" s="8"/>
      <x:c r="B65" s="9" t="str">
        <x:v>visszatöltés around akna</x:v>
      </x:c>
      <x:c r="C65" s="7" t="s">
        <x:v>1</x:v>
      </x:c>
      <x:c r="D65" s="7">
        <x:v>0.5</x:v>
      </x:c>
      <x:c r="E65" s="16" t="n">
        <x:f>E57</x:f>
        <x:v>0</x:v>
      </x:c>
      <x:c r="F65" s="16">
        <x:f t="shared" si="6"/>
        <x:v>0</x:v>
      </x:c>
      <x:c r="G65" s="17">
        <x:v>0</x:v>
      </x:c>
      <x:c r="H65" s="18">
        <x:f t="shared" si="7"/>
        <x:v>0</x:v>
      </x:c>
      <x:c r="I65" s="19" t="s">
        <x:v>100</x:v>
      </x:c>
      <x:c r="J65" s="8"/>
    </x:row>
    <x:row r="66">
      <x:c r="A66" s="8"/>
      <x:c r="B66" s="9" t="str">
        <x:v>Labour – cső layer</x:v>
      </x:c>
      <x:c r="C66" s="7" t="str">
        <x:v>óra</x:v>
      </x:c>
      <x:c r="D66" s="7">
        <x:v>2</x:v>
      </x:c>
      <x:c r="E66" s="16" t="n">
        <x:f>E57</x:f>
        <x:v>0</x:v>
      </x:c>
      <x:c r="F66" s="16">
        <x:f t="shared" si="6"/>
        <x:v>0</x:v>
      </x:c>
      <x:c r="G66" s="17">
        <x:v>0</x:v>
      </x:c>
      <x:c r="H66" s="18">
        <x:f t="shared" si="7"/>
        <x:v>0</x:v>
      </x:c>
      <x:c r="I66" s="19" t="str">
        <x:v>Munkaerő</x:v>
      </x:c>
      <x:c r="J66" s="8"/>
    </x:row>
    <x:row r="67">
      <x:c r="A67" s="8"/>
      <x:c r="B67" s="9" t="s">
        <x:v>106</x:v>
      </x:c>
      <x:c r="C67" s="7" t="str">
        <x:v>óra</x:v>
      </x:c>
      <x:c r="D67" s="7">
        <x:v>2</x:v>
      </x:c>
      <x:c r="E67" s="16" t="n">
        <x:f>E57</x:f>
        <x:v>0</x:v>
      </x:c>
      <x:c r="F67" s="16">
        <x:f t="shared" si="6"/>
        <x:v>0</x:v>
      </x:c>
      <x:c r="G67" s="17">
        <x:v>0</x:v>
      </x:c>
      <x:c r="H67" s="18">
        <x:f t="shared" si="7"/>
        <x:v>0</x:v>
      </x:c>
      <x:c r="I67" s="19" t="str">
        <x:v>Munkaerő</x:v>
      </x:c>
      <x:c r="J67" s="8"/>
    </x:row>
    <x:row r="68">
      <x:c r="A68" s="8"/>
      <x:c r="B68" s="9" t="str">
        <x:v>kotró (8t)</x:v>
      </x:c>
      <x:c r="C68" s="7" t="str">
        <x:v>óra</x:v>
      </x:c>
      <x:c r="D68" s="7">
        <x:v>0.5</x:v>
      </x:c>
      <x:c r="E68" s="16" t="n">
        <x:f>E57</x:f>
        <x:v>0</x:v>
      </x:c>
      <x:c r="F68" s="16">
        <x:f t="shared" si="6"/>
        <x:v>0</x:v>
      </x:c>
      <x:c r="G68" s="17">
        <x:v>0</x:v>
      </x:c>
      <x:c r="H68" s="18">
        <x:f t="shared" si="7"/>
        <x:v>0</x:v>
      </x:c>
      <x:c r="I68" s="19" t="str">
        <x:v>Gép</x:v>
      </x:c>
      <x:c r="J68" s="8"/>
    </x:row>
    <x:row r="69">
      <x:c r="A69" s="8"/>
      <x:c r="B69" s="9" t="str">
        <x:v>Crane / hiab (előregyártott lift)</x:v>
      </x:c>
      <x:c r="C69" s="7" t="str">
        <x:v>óra</x:v>
      </x:c>
      <x:c r="D69" s="7">
        <x:v>0.3</x:v>
      </x:c>
      <x:c r="E69" s="16" t="n">
        <x:f>E57</x:f>
        <x:v>0</x:v>
      </x:c>
      <x:c r="F69" s="16">
        <x:f t="shared" si="6"/>
        <x:v>0</x:v>
      </x:c>
      <x:c r="G69" s="17">
        <x:v>0</x:v>
      </x:c>
      <x:c r="H69" s="18">
        <x:f t="shared" si="7"/>
        <x:v>0</x:v>
      </x:c>
      <x:c r="I69" s="19" t="str">
        <x:v>Gép</x:v>
      </x:c>
      <x:c r="J69" s="11" t="str">
        <x:v>If előregyártott</x:v>
      </x:c>
    </x:row>
    <x:row r="70">
      <x:c r="A70" s="8"/>
      <x:c r="B70" s="15" t="s">
        <x:v>117</x:v>
      </x:c>
      <x:c r="C70" s="8"/>
      <x:c r="D70" s="8"/>
      <x:c r="E70" s="8"/>
      <x:c r="F70" s="8"/>
      <x:c r="G70" s="8"/>
      <x:c r="H70" s="20" t="n">
        <x:f>SUM(H57:H69)</x:f>
        <x:v>0</x:v>
      </x:c>
      <x:c r="I70" s="8"/>
      <x:c r="J70" s="8"/>
    </x:row>
    <x:row r="72">
      <x:c r="J72" s="13" t="s">
        <x:v>118</x:v>
      </x:c>
    </x:row>
    <x:row r="73">
      <x:c r="A73" s="14" t="s">
        <x:v>96</x:v>
      </x:c>
      <x:c r="B73" s="15" t="str">
        <x:v>aszfalt wearing course (40mm AC10)</x:v>
      </x:c>
      <x:c r="C73" s="7" t="str">
        <x:v>t</x:v>
      </x:c>
      <x:c r="D73" s="7">
        <x:v>1</x:v>
      </x:c>
      <x:c r="E73" s="16">
        <x:v>0</x:v>
      </x:c>
      <x:c r="F73" s="16" t="n">
        <x:f t="shared" ref="F73:F83" si="8">D73*E73</x:f>
        <x:v>0</x:v>
      </x:c>
      <x:c r="G73" s="17">
        <x:v>0</x:v>
      </x:c>
      <x:c r="H73" s="18" t="n">
        <x:f t="shared" ref="H73:H83" si="9">F73*G73</x:f>
        <x:v>0</x:v>
      </x:c>
      <x:c r="I73" s="8"/>
      <x:c r="J73" s="8"/>
    </x:row>
    <x:row r="74">
      <x:c r="A74" s="8"/>
      <x:c r="B74" s="9" t="str">
        <x:v>aszfalt (AC10 wearing course)</x:v>
      </x:c>
      <x:c r="C74" s="7" t="str">
        <x:v>t</x:v>
      </x:c>
      <x:c r="D74" s="7">
        <x:v>1</x:v>
      </x:c>
      <x:c r="E74" s="16" t="n">
        <x:f>E73</x:f>
        <x:v>0</x:v>
      </x:c>
      <x:c r="F74" s="16">
        <x:f t="shared" si="8"/>
        <x:v>0</x:v>
      </x:c>
      <x:c r="G74" s="17">
        <x:v>0</x:v>
      </x:c>
      <x:c r="H74" s="18">
        <x:f t="shared" si="9"/>
        <x:v>0</x:v>
      </x:c>
      <x:c r="I74" s="19" t="str">
        <x:v>aszfalt</x:v>
      </x:c>
      <x:c r="J74" s="11" t="str">
        <x:v>befúvás ex-plant</x:v>
      </x:c>
    </x:row>
    <x:row r="75">
      <x:c r="A75" s="8"/>
      <x:c r="B75" s="9" t="str">
        <x:v>fuvarozás - site</x:v>
      </x:c>
      <x:c r="C75" s="7" t="str">
        <x:v>t</x:v>
      </x:c>
      <x:c r="D75" s="7">
        <x:v>1</x:v>
      </x:c>
      <x:c r="E75" s="16" t="n">
        <x:f>E73</x:f>
        <x:v>0</x:v>
      </x:c>
      <x:c r="F75" s="16">
        <x:f t="shared" si="8"/>
        <x:v>0</x:v>
      </x:c>
      <x:c r="G75" s="17">
        <x:v>0</x:v>
      </x:c>
      <x:c r="H75" s="18">
        <x:f t="shared" si="9"/>
        <x:v>0</x:v>
      </x:c>
      <x:c r="I75" s="19" t="str">
        <x:v>aszfalt</x:v>
      </x:c>
      <x:c r="J75" s="11" t="str">
        <x:v>hőmérsékletfüggő</x:v>
      </x:c>
    </x:row>
    <x:row r="76">
      <x:c r="A76" s="8"/>
      <x:c r="B76" s="9" t="s">
        <x:v>119</x:v>
      </x:c>
      <x:c r="C76" s="7" t="s">
        <x:v>4</x:v>
      </x:c>
      <x:c r="D76" s="7">
        <x:v>10.4</x:v>
      </x:c>
      <x:c r="E76" s="16" t="n">
        <x:f>E73</x:f>
        <x:v>0</x:v>
      </x:c>
      <x:c r="F76" s="16">
        <x:f t="shared" si="8"/>
        <x:v>0</x:v>
      </x:c>
      <x:c r="G76" s="17">
        <x:v>0</x:v>
      </x:c>
      <x:c r="H76" s="18">
        <x:f t="shared" si="9"/>
        <x:v>0</x:v>
      </x:c>
      <x:c r="I76" s="19" t="str">
        <x:v>aszfalt</x:v>
      </x:c>
      <x:c r="J76" s="11" t="s">
        <x:v>120</x:v>
      </x:c>
    </x:row>
    <x:row r="77">
      <x:c r="A77" s="8"/>
      <x:c r="B77" s="9" t="s">
        <x:v>121</x:v>
      </x:c>
      <x:c r="C77" s="7" t="str">
        <x:v>fm</x:v>
      </x:c>
      <x:c r="D77" s="7">
        <x:v>2</x:v>
      </x:c>
      <x:c r="E77" s="16" t="n">
        <x:f>E73</x:f>
        <x:v>0</x:v>
      </x:c>
      <x:c r="F77" s="16">
        <x:f t="shared" si="8"/>
        <x:v>0</x:v>
      </x:c>
      <x:c r="G77" s="17">
        <x:v>0</x:v>
      </x:c>
      <x:c r="H77" s="18">
        <x:f t="shared" si="9"/>
        <x:v>0</x:v>
      </x:c>
      <x:c r="I77" s="19" t="str">
        <x:v>aszfalt</x:v>
      </x:c>
      <x:c r="J77" s="8"/>
    </x:row>
    <x:row r="78">
      <x:c r="A78" s="8"/>
      <x:c r="B78" s="9" t="str">
        <x:v>Labour – aszfaltozógép-kezelő</x:v>
      </x:c>
      <x:c r="C78" s="7" t="str">
        <x:v>óra</x:v>
      </x:c>
      <x:c r="D78" s="7">
        <x:v>0.08</x:v>
      </x:c>
      <x:c r="E78" s="16" t="n">
        <x:f>E73</x:f>
        <x:v>0</x:v>
      </x:c>
      <x:c r="F78" s="16">
        <x:f t="shared" si="8"/>
        <x:v>0</x:v>
      </x:c>
      <x:c r="G78" s="17">
        <x:v>0</x:v>
      </x:c>
      <x:c r="H78" s="18">
        <x:f t="shared" si="9"/>
        <x:v>0</x:v>
      </x:c>
      <x:c r="I78" s="19" t="str">
        <x:v>Munkaerő</x:v>
      </x:c>
      <x:c r="J78" s="8"/>
    </x:row>
    <x:row r="79">
      <x:c r="A79" s="8"/>
      <x:c r="B79" s="9" t="s">
        <x:v>122</x:v>
      </x:c>
      <x:c r="C79" s="7" t="str">
        <x:v>óra</x:v>
      </x:c>
      <x:c r="D79" s="7">
        <x:v>0.15</x:v>
      </x:c>
      <x:c r="E79" s="16" t="n">
        <x:f>E73</x:f>
        <x:v>0</x:v>
      </x:c>
      <x:c r="F79" s="16">
        <x:f t="shared" si="8"/>
        <x:v>0</x:v>
      </x:c>
      <x:c r="G79" s="17">
        <x:v>0</x:v>
      </x:c>
      <x:c r="H79" s="18">
        <x:f t="shared" si="9"/>
        <x:v>0</x:v>
      </x:c>
      <x:c r="I79" s="19" t="str">
        <x:v>Munkaerő</x:v>
      </x:c>
      <x:c r="J79" s="11" t="s">
        <x:v>123</x:v>
      </x:c>
    </x:row>
    <x:row r="80">
      <x:c r="A80" s="8"/>
      <x:c r="B80" s="9" t="str">
        <x:v>Labour – hengerkezelő</x:v>
      </x:c>
      <x:c r="C80" s="7" t="str">
        <x:v>óra</x:v>
      </x:c>
      <x:c r="D80" s="7">
        <x:v>0.08</x:v>
      </x:c>
      <x:c r="E80" s="16" t="n">
        <x:f>E73</x:f>
        <x:v>0</x:v>
      </x:c>
      <x:c r="F80" s="16">
        <x:f t="shared" si="8"/>
        <x:v>0</x:v>
      </x:c>
      <x:c r="G80" s="17">
        <x:v>0</x:v>
      </x:c>
      <x:c r="H80" s="18">
        <x:f t="shared" si="9"/>
        <x:v>0</x:v>
      </x:c>
      <x:c r="I80" s="19" t="str">
        <x:v>Munkaerő</x:v>
      </x:c>
      <x:c r="J80" s="8"/>
    </x:row>
    <x:row r="81">
      <x:c r="A81" s="8"/>
      <x:c r="B81" s="9" t="str">
        <x:v>aszfalt paver</x:v>
      </x:c>
      <x:c r="C81" s="7" t="str">
        <x:v>óra</x:v>
      </x:c>
      <x:c r="D81" s="7">
        <x:v>0.08</x:v>
      </x:c>
      <x:c r="E81" s="16" t="n">
        <x:f>E73</x:f>
        <x:v>0</x:v>
      </x:c>
      <x:c r="F81" s="16">
        <x:f t="shared" si="8"/>
        <x:v>0</x:v>
      </x:c>
      <x:c r="G81" s="17">
        <x:v>0</x:v>
      </x:c>
      <x:c r="H81" s="18">
        <x:f t="shared" si="9"/>
        <x:v>0</x:v>
      </x:c>
      <x:c r="I81" s="19" t="str">
        <x:v>Gép</x:v>
      </x:c>
      <x:c r="J81" s="8"/>
    </x:row>
    <x:row r="82">
      <x:c r="A82" s="8"/>
      <x:c r="B82" s="9" t="str">
        <x:v>acél drum henger</x:v>
      </x:c>
      <x:c r="C82" s="7" t="str">
        <x:v>óra</x:v>
      </x:c>
      <x:c r="D82" s="7">
        <x:v>0.08</x:v>
      </x:c>
      <x:c r="E82" s="16" t="n">
        <x:f>E73</x:f>
        <x:v>0</x:v>
      </x:c>
      <x:c r="F82" s="16">
        <x:f t="shared" si="8"/>
        <x:v>0</x:v>
      </x:c>
      <x:c r="G82" s="17">
        <x:v>0</x:v>
      </x:c>
      <x:c r="H82" s="18">
        <x:f t="shared" si="9"/>
        <x:v>0</x:v>
      </x:c>
      <x:c r="I82" s="19" t="str">
        <x:v>Gép</x:v>
      </x:c>
      <x:c r="J82" s="8"/>
    </x:row>
    <x:row r="83">
      <x:c r="A83" s="8"/>
      <x:c r="B83" s="9" t="str">
        <x:v>Pneumatic tyre henger</x:v>
      </x:c>
      <x:c r="C83" s="7" t="str">
        <x:v>óra</x:v>
      </x:c>
      <x:c r="D83" s="7">
        <x:v>0.08</x:v>
      </x:c>
      <x:c r="E83" s="16" t="n">
        <x:f>E73</x:f>
        <x:v>0</x:v>
      </x:c>
      <x:c r="F83" s="16">
        <x:f t="shared" si="8"/>
        <x:v>0</x:v>
      </x:c>
      <x:c r="G83" s="17">
        <x:v>0</x:v>
      </x:c>
      <x:c r="H83" s="18">
        <x:f t="shared" si="9"/>
        <x:v>0</x:v>
      </x:c>
      <x:c r="I83" s="19" t="str">
        <x:v>Gép</x:v>
      </x:c>
      <x:c r="J83" s="8"/>
    </x:row>
    <x:row r="84">
      <x:c r="A84" s="8"/>
      <x:c r="B84" s="15" t="s">
        <x:v>124</x:v>
      </x:c>
      <x:c r="C84" s="8"/>
      <x:c r="D84" s="8"/>
      <x:c r="E84" s="8"/>
      <x:c r="F84" s="8"/>
      <x:c r="G84" s="8"/>
      <x:c r="H84" s="20" t="n">
        <x:f>SUM(H73:H83)</x:f>
        <x:v>0</x:v>
      </x:c>
      <x:c r="I84" s="8"/>
      <x:c r="J84" s="8"/>
    </x:row>
    <x:row r="86">
      <x:c r="J86" s="13" t="str">
        <x:v>Mennyiségfelvétel hivatkozás 1.1</x:v>
      </x:c>
    </x:row>
    <x:row r="87">
      <x:c r="A87" s="14" t="s">
        <x:v>96</x:v>
      </x:c>
      <x:c r="B87" s="15" t="str">
        <x:v>humuszleszedés és depózás (200mm átlagos)</x:v>
      </x:c>
      <x:c r="C87" s="7" t="s">
        <x:v>1</x:v>
      </x:c>
      <x:c r="D87" s="7">
        <x:v>1</x:v>
      </x:c>
      <x:c r="E87" s="16">
        <x:v>0</x:v>
      </x:c>
      <x:c r="F87" s="16" t="n">
        <x:f t="shared" ref="F87:F93" si="10">D87*E87</x:f>
        <x:v>0</x:v>
      </x:c>
      <x:c r="G87" s="17">
        <x:v>0</x:v>
      </x:c>
      <x:c r="H87" s="18" t="n">
        <x:f t="shared" ref="H87:H93" si="11">F87*G87</x:f>
        <x:v>0</x:v>
      </x:c>
      <x:c r="I87" s="8"/>
      <x:c r="J87" s="8"/>
    </x:row>
    <x:row r="88">
      <x:c r="A88" s="8"/>
      <x:c r="B88" s="9" t="str">
        <x:v>kotró (20t) – leszedés</x:v>
      </x:c>
      <x:c r="C88" s="7" t="str">
        <x:v>óra</x:v>
      </x:c>
      <x:c r="D88" s="7">
        <x:v>0.04</x:v>
      </x:c>
      <x:c r="E88" s="16" t="n">
        <x:f>E87</x:f>
        <x:v>0</x:v>
      </x:c>
      <x:c r="F88" s="16">
        <x:f t="shared" si="10"/>
        <x:v>0</x:v>
      </x:c>
      <x:c r="G88" s="17">
        <x:v>0</x:v>
      </x:c>
      <x:c r="H88" s="18">
        <x:f t="shared" si="11"/>
        <x:v>0</x:v>
      </x:c>
      <x:c r="I88" s="19" t="str">
        <x:v>Gép</x:v>
      </x:c>
      <x:c r="J88" s="11" t="s">
        <x:v>125</x:v>
      </x:c>
    </x:row>
    <x:row r="89">
      <x:c r="A89" s="8"/>
      <x:c r="B89" s="9" t="str">
        <x:v>csuklós dömper</x:v>
      </x:c>
      <x:c r="C89" s="7" t="str">
        <x:v>óra</x:v>
      </x:c>
      <x:c r="D89" s="7">
        <x:v>0.03</x:v>
      </x:c>
      <x:c r="E89" s="16" t="n">
        <x:f>E87</x:f>
        <x:v>0</x:v>
      </x:c>
      <x:c r="F89" s="16">
        <x:f t="shared" si="10"/>
        <x:v>0</x:v>
      </x:c>
      <x:c r="G89" s="17">
        <x:v>0</x:v>
      </x:c>
      <x:c r="H89" s="18">
        <x:f t="shared" si="11"/>
        <x:v>0</x:v>
      </x:c>
      <x:c r="I89" s="19" t="str">
        <x:v>Gép</x:v>
      </x:c>
      <x:c r="J89" s="11" t="str">
        <x:v>szállítás - depózás</x:v>
      </x:c>
    </x:row>
    <x:row r="90">
      <x:c r="A90" s="8"/>
      <x:c r="B90" s="9" t="str">
        <x:v>dózer – terítés / tolás és elterítés depózás</x:v>
      </x:c>
      <x:c r="C90" s="7" t="str">
        <x:v>óra</x:v>
      </x:c>
      <x:c r="D90" s="7">
        <x:v>0.02</x:v>
      </x:c>
      <x:c r="E90" s="16" t="n">
        <x:f>E87</x:f>
        <x:v>0</x:v>
      </x:c>
      <x:c r="F90" s="16">
        <x:f t="shared" si="10"/>
        <x:v>0</x:v>
      </x:c>
      <x:c r="G90" s="17">
        <x:v>0</x:v>
      </x:c>
      <x:c r="H90" s="18">
        <x:f t="shared" si="11"/>
        <x:v>0</x:v>
      </x:c>
      <x:c r="I90" s="19" t="str">
        <x:v>Gép</x:v>
      </x:c>
      <x:c r="J90" s="8"/>
    </x:row>
    <x:row r="91">
      <x:c r="A91" s="8"/>
      <x:c r="B91" s="9" t="str">
        <x:v>Labour – operator/irányító személy</x:v>
      </x:c>
      <x:c r="C91" s="7" t="str">
        <x:v>óra</x:v>
      </x:c>
      <x:c r="D91" s="7">
        <x:v>0.04</x:v>
      </x:c>
      <x:c r="E91" s="16" t="n">
        <x:f>E87</x:f>
        <x:v>0</x:v>
      </x:c>
      <x:c r="F91" s="16">
        <x:f t="shared" si="10"/>
        <x:v>0</x:v>
      </x:c>
      <x:c r="G91" s="17">
        <x:v>0</x:v>
      </x:c>
      <x:c r="H91" s="18">
        <x:f t="shared" si="11"/>
        <x:v>0</x:v>
      </x:c>
      <x:c r="I91" s="19" t="str">
        <x:v>Munkaerő</x:v>
      </x:c>
      <x:c r="J91" s="8"/>
    </x:row>
    <x:row r="92">
      <x:c r="A92" s="8"/>
      <x:c r="B92" s="9" t="str">
        <x:v>Silt fence (around depózás)</x:v>
      </x:c>
      <x:c r="C92" s="7" t="str">
        <x:v>fm</x:v>
      </x:c>
      <x:c r="D92" s="7">
        <x:v>0.1</x:v>
      </x:c>
      <x:c r="E92" s="16" t="n">
        <x:f>E87</x:f>
        <x:v>0</x:v>
      </x:c>
      <x:c r="F92" s="16">
        <x:f t="shared" si="10"/>
        <x:v>0</x:v>
      </x:c>
      <x:c r="G92" s="17">
        <x:v>0</x:v>
      </x:c>
      <x:c r="H92" s="18">
        <x:f t="shared" si="11"/>
        <x:v>0</x:v>
      </x:c>
      <x:c r="I92" s="19" t="s">
        <x:v>126</x:v>
      </x:c>
      <x:c r="J92" s="8"/>
    </x:row>
    <x:row r="93">
      <x:c r="A93" s="8"/>
      <x:c r="B93" s="9" t="str">
        <x:v>Erosion control – depózás cover</x:v>
      </x:c>
      <x:c r="C93" s="7" t="s">
        <x:v>4</x:v>
      </x:c>
      <x:c r="D93" s="7">
        <x:v>0.5</x:v>
      </x:c>
      <x:c r="E93" s="16" t="n">
        <x:f>E87</x:f>
        <x:v>0</x:v>
      </x:c>
      <x:c r="F93" s="16">
        <x:f t="shared" si="10"/>
        <x:v>0</x:v>
      </x:c>
      <x:c r="G93" s="17">
        <x:v>0</x:v>
      </x:c>
      <x:c r="H93" s="18">
        <x:f t="shared" si="11"/>
        <x:v>0</x:v>
      </x:c>
      <x:c r="I93" s="19" t="s">
        <x:v>126</x:v>
      </x:c>
      <x:c r="J93" s="8"/>
    </x:row>
    <x:row r="94">
      <x:c r="A94" s="8"/>
      <x:c r="B94" s="15" t="s">
        <x:v>127</x:v>
      </x:c>
      <x:c r="C94" s="8"/>
      <x:c r="D94" s="8"/>
      <x:c r="E94" s="8"/>
      <x:c r="F94" s="8"/>
      <x:c r="G94" s="8"/>
      <x:c r="H94" s="20" t="n">
        <x:f>SUM(H87:H93)</x:f>
        <x:v>0</x:v>
      </x:c>
      <x:c r="I94" s="8"/>
      <x:c r="J94" s="8"/>
    </x:row>
    <x:row r="96">
      <x:c r="J96" s="13" t="s">
        <x:v>128</x:v>
      </x:c>
    </x:row>
    <x:row r="97">
      <x:c r="A97" s="14" t="s">
        <x:v>96</x:v>
      </x:c>
      <x:c r="B97" s="15" t="str">
        <x:v>Barrier szegély és gutter – befúvás &amp; place</x:v>
      </x:c>
      <x:c r="C97" s="7" t="str">
        <x:v>fm</x:v>
      </x:c>
      <x:c r="D97" s="7">
        <x:v>1</x:v>
      </x:c>
      <x:c r="E97" s="16">
        <x:v>0</x:v>
      </x:c>
      <x:c r="F97" s="16" t="n">
        <x:f t="shared" ref="F97:F108" si="12">D97*E97</x:f>
        <x:v>0</x:v>
      </x:c>
      <x:c r="G97" s="17">
        <x:v>0</x:v>
      </x:c>
      <x:c r="H97" s="18" t="n">
        <x:f t="shared" ref="H97:H108" si="13">F97*G97</x:f>
        <x:v>0</x:v>
      </x:c>
      <x:c r="I97" s="8"/>
      <x:c r="J97" s="8"/>
    </x:row>
    <x:row r="98">
      <x:c r="A98" s="8"/>
      <x:c r="B98" s="9" t="str">
        <x:v>Concrete (25 MPa) – ~0.08 m³/fm</x:v>
      </x:c>
      <x:c r="C98" s="7" t="s">
        <x:v>1</x:v>
      </x:c>
      <x:c r="D98" s="7">
        <x:v>0.08</x:v>
      </x:c>
      <x:c r="E98" s="16" t="n">
        <x:f>E97</x:f>
        <x:v>0</x:v>
      </x:c>
      <x:c r="F98" s="16">
        <x:f t="shared" si="12"/>
        <x:v>0</x:v>
      </x:c>
      <x:c r="G98" s="17">
        <x:v>0</x:v>
      </x:c>
      <x:c r="H98" s="18">
        <x:f t="shared" si="13"/>
        <x:v>0</x:v>
      </x:c>
      <x:c r="I98" s="19" t="str">
        <x:v>Beton</x:v>
      </x:c>
      <x:c r="J98" s="11" t="s">
        <x:v>129</x:v>
      </x:c>
    </x:row>
    <x:row r="99">
      <x:c r="A99" s="8"/>
      <x:c r="B99" s="9" t="str">
        <x:v>Formwork – acél szegély mould</x:v>
      </x:c>
      <x:c r="C99" s="7" t="str">
        <x:v>fm</x:v>
      </x:c>
      <x:c r="D99" s="7">
        <x:v>1</x:v>
      </x:c>
      <x:c r="E99" s="16" t="n">
        <x:f>E97</x:f>
        <x:v>0</x:v>
      </x:c>
      <x:c r="F99" s="16">
        <x:f t="shared" si="12"/>
        <x:v>0</x:v>
      </x:c>
      <x:c r="G99" s="17">
        <x:v>0</x:v>
      </x:c>
      <x:c r="H99" s="18">
        <x:f t="shared" si="13"/>
        <x:v>0</x:v>
      </x:c>
      <x:c r="I99" s="19" t="s">
        <x:v>130</x:v>
      </x:c>
      <x:c r="J99" s="8"/>
    </x:row>
    <x:row r="100">
      <x:c r="A100" s="8"/>
      <x:c r="B100" s="9" t="str">
        <x:v>vasalás – N12 bar</x:v>
      </x:c>
      <x:c r="C100" s="7" t="s">
        <x:v>131</x:v>
      </x:c>
      <x:c r="D100" s="7">
        <x:v>1.5</x:v>
      </x:c>
      <x:c r="E100" s="16" t="n">
        <x:f>E97</x:f>
        <x:v>0</x:v>
      </x:c>
      <x:c r="F100" s="16">
        <x:f t="shared" si="12"/>
        <x:v>0</x:v>
      </x:c>
      <x:c r="G100" s="17">
        <x:v>0</x:v>
      </x:c>
      <x:c r="H100" s="18">
        <x:f t="shared" si="13"/>
        <x:v>0</x:v>
      </x:c>
      <x:c r="I100" s="19" t="str">
        <x:v>Acél</x:v>
      </x:c>
      <x:c r="J100" s="8"/>
    </x:row>
    <x:row r="101">
      <x:c r="A101" s="8"/>
      <x:c r="B101" s="9" t="str">
        <x:v>földmű tükör prep / trimming</x:v>
      </x:c>
      <x:c r="C101" s="7" t="str">
        <x:v>fm</x:v>
      </x:c>
      <x:c r="D101" s="7">
        <x:v>1</x:v>
      </x:c>
      <x:c r="E101" s="16" t="n">
        <x:f>E97</x:f>
        <x:v>0</x:v>
      </x:c>
      <x:c r="F101" s="16">
        <x:f t="shared" si="12"/>
        <x:v>0</x:v>
      </x:c>
      <x:c r="G101" s="17">
        <x:v>0</x:v>
      </x:c>
      <x:c r="H101" s="18">
        <x:f t="shared" si="13"/>
        <x:v>0</x:v>
      </x:c>
      <x:c r="I101" s="19" t="s">
        <x:v>100</x:v>
      </x:c>
      <x:c r="J101" s="8"/>
    </x:row>
    <x:row r="102">
      <x:c r="A102" s="8"/>
      <x:c r="B102" s="9" t="str">
        <x:v>ágyazat sand / crushed rock (50mm)</x:v>
      </x:c>
      <x:c r="C102" s="7" t="s">
        <x:v>1</x:v>
      </x:c>
      <x:c r="D102" s="7">
        <x:v>1.4999999999999999E-2</x:v>
      </x:c>
      <x:c r="E102" s="16" t="n">
        <x:f>E97</x:f>
        <x:v>0</x:v>
      </x:c>
      <x:c r="F102" s="16">
        <x:f t="shared" si="12"/>
        <x:v>0</x:v>
      </x:c>
      <x:c r="G102" s="17">
        <x:v>0</x:v>
      </x:c>
      <x:c r="H102" s="18">
        <x:f t="shared" si="13"/>
        <x:v>0</x:v>
      </x:c>
      <x:c r="I102" s="19" t="str">
        <x:v>Anyag</x:v>
      </x:c>
      <x:c r="J102" s="8"/>
    </x:row>
    <x:row r="103">
      <x:c r="A103" s="8"/>
      <x:c r="B103" s="9" t="s">
        <x:v>132</x:v>
      </x:c>
      <x:c r="C103" s="7" t="str">
        <x:v>db</x:v>
      </x:c>
      <x:c r="D103" s="7">
        <x:v>0.33</x:v>
      </x:c>
      <x:c r="E103" s="16" t="n">
        <x:f>E97</x:f>
        <x:v>0</x:v>
      </x:c>
      <x:c r="F103" s="16">
        <x:f t="shared" si="12"/>
        <x:v>0</x:v>
      </x:c>
      <x:c r="G103" s="17">
        <x:v>0</x:v>
      </x:c>
      <x:c r="H103" s="18">
        <x:f t="shared" si="13"/>
        <x:v>0</x:v>
      </x:c>
      <x:c r="I103" s="19" t="str">
        <x:v>Anyag</x:v>
      </x:c>
      <x:c r="J103" s="8"/>
    </x:row>
    <x:row r="104">
      <x:c r="A104" s="8"/>
      <x:c r="B104" s="9" t="s">
        <x:v>133</x:v>
      </x:c>
      <x:c r="C104" s="7" t="str">
        <x:v>fm</x:v>
      </x:c>
      <x:c r="D104" s="7">
        <x:v>1</x:v>
      </x:c>
      <x:c r="E104" s="16" t="n">
        <x:f>E97</x:f>
        <x:v>0</x:v>
      </x:c>
      <x:c r="F104" s="16">
        <x:f t="shared" si="12"/>
        <x:v>0</x:v>
      </x:c>
      <x:c r="G104" s="17">
        <x:v>0</x:v>
      </x:c>
      <x:c r="H104" s="18">
        <x:f t="shared" si="13"/>
        <x:v>0</x:v>
      </x:c>
      <x:c r="I104" s="19" t="str">
        <x:v>Anyag</x:v>
      </x:c>
      <x:c r="J104" s="8"/>
    </x:row>
    <x:row r="105">
      <x:c r="A105" s="8"/>
      <x:c r="B105" s="9" t="s">
        <x:v>134</x:v>
      </x:c>
      <x:c r="C105" s="7" t="str">
        <x:v>óra</x:v>
      </x:c>
      <x:c r="D105" s="7">
        <x:v>0.15</x:v>
      </x:c>
      <x:c r="E105" s="16" t="n">
        <x:f>E97</x:f>
        <x:v>0</x:v>
      </x:c>
      <x:c r="F105" s="16">
        <x:f t="shared" si="12"/>
        <x:v>0</x:v>
      </x:c>
      <x:c r="G105" s="17">
        <x:v>0</x:v>
      </x:c>
      <x:c r="H105" s="18">
        <x:f t="shared" si="13"/>
        <x:v>0</x:v>
      </x:c>
      <x:c r="I105" s="19" t="str">
        <x:v>Munkaerő</x:v>
      </x:c>
      <x:c r="J105" s="11" t="s">
        <x:v>135</x:v>
      </x:c>
    </x:row>
    <x:row r="106">
      <x:c r="A106" s="8"/>
      <x:c r="B106" s="9" t="s">
        <x:v>106</x:v>
      </x:c>
      <x:c r="C106" s="7" t="str">
        <x:v>óra</x:v>
      </x:c>
      <x:c r="D106" s="7">
        <x:v>0.15</x:v>
      </x:c>
      <x:c r="E106" s="16" t="n">
        <x:f>E97</x:f>
        <x:v>0</x:v>
      </x:c>
      <x:c r="F106" s="16">
        <x:f t="shared" si="12"/>
        <x:v>0</x:v>
      </x:c>
      <x:c r="G106" s="17">
        <x:v>0</x:v>
      </x:c>
      <x:c r="H106" s="18">
        <x:f t="shared" si="13"/>
        <x:v>0</x:v>
      </x:c>
      <x:c r="I106" s="19" t="str">
        <x:v>Munkaerő</x:v>
      </x:c>
      <x:c r="J106" s="8"/>
    </x:row>
    <x:row r="107">
      <x:c r="A107" s="8"/>
      <x:c r="B107" s="9" t="str">
        <x:v>szegélyépítő gép / betonpumpa</x:v>
      </x:c>
      <x:c r="C107" s="7" t="str">
        <x:v>óra</x:v>
      </x:c>
      <x:c r="D107" s="7">
        <x:v>0.08</x:v>
      </x:c>
      <x:c r="E107" s="16" t="n">
        <x:f>E97</x:f>
        <x:v>0</x:v>
      </x:c>
      <x:c r="F107" s="16">
        <x:f t="shared" si="12"/>
        <x:v>0</x:v>
      </x:c>
      <x:c r="G107" s="17">
        <x:v>0</x:v>
      </x:c>
      <x:c r="H107" s="18">
        <x:f t="shared" si="13"/>
        <x:v>0</x:v>
      </x:c>
      <x:c r="I107" s="19" t="str">
        <x:v>Gép</x:v>
      </x:c>
      <x:c r="J107" s="8"/>
    </x:row>
    <x:row r="108">
      <x:c r="A108" s="8"/>
      <x:c r="B108" s="9" t="s">
        <x:v>136</x:v>
      </x:c>
      <x:c r="C108" s="7" t="str">
        <x:v>óra</x:v>
      </x:c>
      <x:c r="D108" s="7">
        <x:v>0.05</x:v>
      </x:c>
      <x:c r="E108" s="16" t="n">
        <x:f>E97</x:f>
        <x:v>0</x:v>
      </x:c>
      <x:c r="F108" s="16">
        <x:f t="shared" si="12"/>
        <x:v>0</x:v>
      </x:c>
      <x:c r="G108" s="17">
        <x:v>0</x:v>
      </x:c>
      <x:c r="H108" s="18">
        <x:f t="shared" si="13"/>
        <x:v>0</x:v>
      </x:c>
      <x:c r="I108" s="19" t="str">
        <x:v>Geodézia / kitűzés</x:v>
      </x:c>
      <x:c r="J108" s="8"/>
    </x:row>
    <x:row r="109">
      <x:c r="A109" s="8"/>
      <x:c r="B109" s="15" t="s">
        <x:v>137</x:v>
      </x:c>
      <x:c r="C109" s="8"/>
      <x:c r="D109" s="8"/>
      <x:c r="E109" s="8"/>
      <x:c r="F109" s="8"/>
      <x:c r="G109" s="8"/>
      <x:c r="H109" s="20" t="n">
        <x:f>SUM(H97:H108)</x:f>
        <x:v>0</x:v>
      </x:c>
      <x:c r="I109" s="8"/>
      <x:c r="J109" s="8"/>
    </x:row>
    <x:row r="111">
      <x:c r="J111" s="13" t="s">
        <x:v>138</x:v>
      </x:c>
    </x:row>
    <x:row r="112">
      <x:c r="A112" s="14" t="s">
        <x:v>96</x:v>
      </x:c>
      <x:c r="B112" s="15" t="s">
        <x:v>139</x:v>
      </x:c>
      <x:c r="C112" s="7" t="str">
        <x:v>fm</x:v>
      </x:c>
      <x:c r="D112" s="7">
        <x:v>1</x:v>
      </x:c>
      <x:c r="E112" s="16">
        <x:v>0</x:v>
      </x:c>
      <x:c r="F112" s="16" t="n">
        <x:f t="shared" ref="F112:F121" si="14">D112*E112</x:f>
        <x:v>0</x:v>
      </x:c>
      <x:c r="G112" s="17">
        <x:v>0</x:v>
      </x:c>
      <x:c r="H112" s="18" t="n">
        <x:f t="shared" ref="H112:H121" si="15">F112*G112</x:f>
        <x:v>0</x:v>
      </x:c>
      <x:c r="I112" s="8"/>
      <x:c r="J112" s="8"/>
    </x:row>
    <x:row r="113">
      <x:c r="A113" s="8"/>
      <x:c r="B113" s="9" t="str">
        <x:v>100mm slotted PVC cső</x:v>
      </x:c>
      <x:c r="C113" s="7" t="str">
        <x:v>fm</x:v>
      </x:c>
      <x:c r="D113" s="7">
        <x:v>1</x:v>
      </x:c>
      <x:c r="E113" s="16" t="n">
        <x:f>E112</x:f>
        <x:v>0</x:v>
      </x:c>
      <x:c r="F113" s="16">
        <x:f t="shared" si="14"/>
        <x:v>0</x:v>
      </x:c>
      <x:c r="G113" s="17">
        <x:v>0</x:v>
      </x:c>
      <x:c r="H113" s="18">
        <x:f t="shared" si="15"/>
        <x:v>0</x:v>
      </x:c>
      <x:c r="I113" s="19" t="str">
        <x:v>vízelvezetés</x:v>
      </x:c>
      <x:c r="J113" s="8"/>
    </x:row>
    <x:row r="114">
      <x:c r="A114" s="8"/>
      <x:c r="B114" s="9" t="str">
        <x:v>Geotextile wrapping (sock or munkaárok)</x:v>
      </x:c>
      <x:c r="C114" s="7" t="str">
        <x:v>fm</x:v>
      </x:c>
      <x:c r="D114" s="7">
        <x:v>1</x:v>
      </x:c>
      <x:c r="E114" s="16" t="n">
        <x:f>E112</x:f>
        <x:v>0</x:v>
      </x:c>
      <x:c r="F114" s="16">
        <x:f t="shared" si="14"/>
        <x:v>0</x:v>
      </x:c>
      <x:c r="G114" s="17">
        <x:v>0</x:v>
      </x:c>
      <x:c r="H114" s="18">
        <x:f t="shared" si="15"/>
        <x:v>0</x:v>
      </x:c>
      <x:c r="I114" s="19" t="str">
        <x:v>vízelvezetés</x:v>
      </x:c>
      <x:c r="J114" s="8"/>
    </x:row>
    <x:row r="115">
      <x:c r="A115" s="8"/>
      <x:c r="B115" s="9" t="str">
        <x:v>Filter material – 20mm vízelvezetés gravel</x:v>
      </x:c>
      <x:c r="C115" s="7" t="s">
        <x:v>1</x:v>
      </x:c>
      <x:c r="D115" s="7">
        <x:v>0.12</x:v>
      </x:c>
      <x:c r="E115" s="16" t="n">
        <x:f>E112</x:f>
        <x:v>0</x:v>
      </x:c>
      <x:c r="F115" s="16">
        <x:f t="shared" si="14"/>
        <x:v>0</x:v>
      </x:c>
      <x:c r="G115" s="17">
        <x:v>0</x:v>
      </x:c>
      <x:c r="H115" s="18">
        <x:f t="shared" si="15"/>
        <x:v>0</x:v>
      </x:c>
      <x:c r="I115" s="19" t="str">
        <x:v>Anyag</x:v>
      </x:c>
      <x:c r="J115" s="11" t="str">
        <x:v>300mm × 400mm munkaárok</x:v>
      </x:c>
    </x:row>
    <x:row r="116">
      <x:c r="A116" s="8"/>
      <x:c r="B116" s="9" t="str">
        <x:v>munkaárok kiemelés (300mm × 500mm)</x:v>
      </x:c>
      <x:c r="C116" s="7" t="s">
        <x:v>1</x:v>
      </x:c>
      <x:c r="D116" s="7">
        <x:v>0.15</x:v>
      </x:c>
      <x:c r="E116" s="16" t="n">
        <x:f>E112</x:f>
        <x:v>0</x:v>
      </x:c>
      <x:c r="F116" s="16">
        <x:f t="shared" si="14"/>
        <x:v>0</x:v>
      </x:c>
      <x:c r="G116" s="17">
        <x:v>0</x:v>
      </x:c>
      <x:c r="H116" s="18">
        <x:f t="shared" si="15"/>
        <x:v>0</x:v>
      </x:c>
      <x:c r="I116" s="19" t="s">
        <x:v>100</x:v>
      </x:c>
      <x:c r="J116" s="8"/>
    </x:row>
    <x:row r="117">
      <x:c r="A117" s="8"/>
      <x:c r="B117" s="9" t="str">
        <x:v>visszatöltés / reinstatement</x:v>
      </x:c>
      <x:c r="C117" s="7" t="s">
        <x:v>1</x:v>
      </x:c>
      <x:c r="D117" s="7">
        <x:v>0.03</x:v>
      </x:c>
      <x:c r="E117" s="16" t="n">
        <x:f>E112</x:f>
        <x:v>0</x:v>
      </x:c>
      <x:c r="F117" s="16">
        <x:f t="shared" si="14"/>
        <x:v>0</x:v>
      </x:c>
      <x:c r="G117" s="17">
        <x:v>0</x:v>
      </x:c>
      <x:c r="H117" s="18">
        <x:f t="shared" si="15"/>
        <x:v>0</x:v>
      </x:c>
      <x:c r="I117" s="19" t="s">
        <x:v>100</x:v>
      </x:c>
      <x:c r="J117" s="8"/>
    </x:row>
    <x:row r="118">
      <x:c r="A118" s="8"/>
      <x:c r="B118" s="9" t="str">
        <x:v>csatlakozás - akna / outlet</x:v>
      </x:c>
      <x:c r="C118" s="7" t="str">
        <x:v>db</x:v>
      </x:c>
      <x:c r="D118" s="7">
        <x:v>0.01</x:v>
      </x:c>
      <x:c r="E118" s="16" t="n">
        <x:f>E112</x:f>
        <x:v>0</x:v>
      </x:c>
      <x:c r="F118" s="16">
        <x:f t="shared" si="14"/>
        <x:v>0</x:v>
      </x:c>
      <x:c r="G118" s="17">
        <x:v>0</x:v>
      </x:c>
      <x:c r="H118" s="18">
        <x:f t="shared" si="15"/>
        <x:v>0</x:v>
      </x:c>
      <x:c r="I118" s="19" t="str">
        <x:v>vízelvezetés</x:v>
      </x:c>
      <x:c r="J118" s="11" t="s">
        <x:v>140</x:v>
      </x:c>
    </x:row>
    <x:row r="119">
      <x:c r="A119" s="8"/>
      <x:c r="B119" s="9" t="s">
        <x:v>141</x:v>
      </x:c>
      <x:c r="C119" s="7" t="str">
        <x:v>óra</x:v>
      </x:c>
      <x:c r="D119" s="7">
        <x:v>0.1</x:v>
      </x:c>
      <x:c r="E119" s="16" t="n">
        <x:f>E112</x:f>
        <x:v>0</x:v>
      </x:c>
      <x:c r="F119" s="16">
        <x:f t="shared" si="14"/>
        <x:v>0</x:v>
      </x:c>
      <x:c r="G119" s="17">
        <x:v>0</x:v>
      </x:c>
      <x:c r="H119" s="18">
        <x:f t="shared" si="15"/>
        <x:v>0</x:v>
      </x:c>
      <x:c r="I119" s="19" t="str">
        <x:v>Munkaerő</x:v>
      </x:c>
      <x:c r="J119" s="8"/>
    </x:row>
    <x:row r="120">
      <x:c r="A120" s="8"/>
      <x:c r="B120" s="9" t="s">
        <x:v>106</x:v>
      </x:c>
      <x:c r="C120" s="7" t="str">
        <x:v>óra</x:v>
      </x:c>
      <x:c r="D120" s="7">
        <x:v>0.1</x:v>
      </x:c>
      <x:c r="E120" s="16" t="n">
        <x:f>E112</x:f>
        <x:v>0</x:v>
      </x:c>
      <x:c r="F120" s="16">
        <x:f t="shared" si="14"/>
        <x:v>0</x:v>
      </x:c>
      <x:c r="G120" s="17">
        <x:v>0</x:v>
      </x:c>
      <x:c r="H120" s="18">
        <x:f t="shared" si="15"/>
        <x:v>0</x:v>
      </x:c>
      <x:c r="I120" s="19" t="str">
        <x:v>Munkaerő</x:v>
      </x:c>
      <x:c r="J120" s="8"/>
    </x:row>
    <x:row r="121">
      <x:c r="A121" s="8"/>
      <x:c r="B121" s="9" t="str">
        <x:v>Mini kotró (1.5t)</x:v>
      </x:c>
      <x:c r="C121" s="7" t="str">
        <x:v>óra</x:v>
      </x:c>
      <x:c r="D121" s="7">
        <x:v>0.1</x:v>
      </x:c>
      <x:c r="E121" s="16" t="n">
        <x:f>E112</x:f>
        <x:v>0</x:v>
      </x:c>
      <x:c r="F121" s="16">
        <x:f t="shared" si="14"/>
        <x:v>0</x:v>
      </x:c>
      <x:c r="G121" s="17">
        <x:v>0</x:v>
      </x:c>
      <x:c r="H121" s="18">
        <x:f t="shared" si="15"/>
        <x:v>0</x:v>
      </x:c>
      <x:c r="I121" s="19" t="str">
        <x:v>Gép</x:v>
      </x:c>
      <x:c r="J121" s="8"/>
    </x:row>
    <x:row r="122">
      <x:c r="A122" s="8"/>
      <x:c r="B122" s="15" t="s">
        <x:v>142</x:v>
      </x:c>
      <x:c r="C122" s="8"/>
      <x:c r="D122" s="8"/>
      <x:c r="E122" s="8"/>
      <x:c r="F122" s="8"/>
      <x:c r="G122" s="8"/>
      <x:c r="H122" s="20" t="n">
        <x:f>SUM(H112:H121)</x:f>
        <x:v>0</x:v>
      </x:c>
      <x:c r="I122" s="8"/>
      <x:c r="J122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7" max="7" width="17.3984375" customWidth="1"/>
    <x:col min="8" max="8" width="10.53125" customWidth="1"/>
    <x:col min="12" max="12" width="13.46484375" customWidth="1"/>
  </x:cols>
  <x:sheetData>
    <x:row r="8">
      <x:c r="G8" s="21" t="str">
        <x:v>Kész padlószint</x:v>
      </x:c>
      <x:c r="H8">
        <x:v>1252</x:v>
      </x:c>
      <x:c r="K8" s="21" t="str">
        <x:v>Meglévő</x:v>
      </x:c>
      <x:c r="L8" s="21" t="str">
        <x:v>Bevágás / kitermelés</x:v>
      </x:c>
    </x:row>
    <x:row r="9">
      <x:c r="G9" t="str">
        <x:v>Lemezvastagság</x:v>
      </x:c>
      <x:c r="H9">
        <x:v>125</x:v>
      </x:c>
      <x:c r="K9">
        <x:v>1252</x:v>
      </x:c>
      <x:c r="L9" s="22" t="n">
        <x:f>K9-H11-150</x:f>
        <x:v>275</x:v>
      </x:c>
    </x:row>
    <x:row r="10">
      <x:c r="G10" t="str">
        <x:v>Felső 300 mm eltávolítása</x:v>
      </x:c>
      <x:c r="H10">
        <x:v>300</x:v>
      </x:c>
      <x:c r="K10">
        <x:v>1251</x:v>
      </x:c>
      <x:c r="L10" t="n">
        <x:f>K10-H11-150</x:f>
        <x:v>274</x:v>
      </x:c>
    </x:row>
    <x:row r="11">
      <x:c r="G11" t="str">
        <x:v>Kitermelési mélység</x:v>
      </x:c>
      <x:c r="H11" t="n">
        <x:f>H8-H9-H10</x:f>
        <x:v>827</x:v>
      </x:c>
      <x:c r="K11">
        <x:v>1250</x:v>
      </x:c>
      <x:c r="L11" t="n">
        <x:f>K11-H11-150</x:f>
        <x:v>273</x:v>
      </x:c>
    </x:row>
    <x:row r="15">
      <x:c r="L15" s="21" t="str">
        <x:v>Bevágás / kitermelés</x:v>
      </x:c>
      <x:c r="M15">
        <x:v>1000</x:v>
      </x:c>
    </x:row>
    <x:row r="16">
      <x:c r="L16" s="21" t="str">
        <x:v>Lazulási tényező</x:v>
      </x:c>
      <x:c r="M16" t="n">
        <x:f>M15*1.1</x:f>
        <x:v>1100</x:v>
      </x:c>
      <x:c r="N16" t="str">
        <x:v>m³</x:v>
      </x:c>
    </x:row>
    <x:row r="17">
      <x:c r="L17" s="21"/>
    </x:row>
    <x:row r="18">
      <x:c r="L18" s="21" t="str">
        <x:v>Importált mennyiség</x:v>
      </x:c>
      <x:c r="M18" t="n">
        <x:f>M15*1.15</x:f>
        <x:v>1150</x:v>
      </x:c>
      <x:c r="N18" t="str">
        <x:v>m³</x:v>
      </x:c>
    </x:row>
  </x:sheetData>
  <x:pageMargins left="0.7" right="0.7" top="0.75" bottom="0.75" header="0.3" footer="0.3"/>
</x:worksheet>
</file>