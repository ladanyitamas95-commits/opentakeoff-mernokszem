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748dab16d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umbing QTO" sheetId="1" r:id="Rfbd21bfe2cef45f1"/>
    <x:sheet xmlns:r="http://schemas.openxmlformats.org/officeDocument/2006/relationships" name="Assemblies" sheetId="2" r:id="R142e394ca9f74323"/>
  </x:sheets>
</x:workbook>
</file>

<file path=xl/sharedStrings.xml><?xml version="1.0" encoding="utf-8"?>
<x:sst xmlns:x="http://schemas.openxmlformats.org/spreadsheetml/2006/main">
  <x:si>
    <x:t xml:space="preserve">TOTAL
QTY</x:t>
  </x:si>
  <x:si>
    <x:t xml:space="preserve">1.1</x:t>
  </x:si>
  <x:si>
    <x:t xml:space="preserve">1.2</x:t>
  </x:si>
  <x:si>
    <x:t xml:space="preserve">1.3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</x:si>
  <x:si>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</x:si>
  <x:si>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</x:si>
  <x:si>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</x:si>
  <x:si>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</x:si>
  <x:si>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1.8</x:t>
  </x:si>
  <x:si>
    <x:t xml:space="preserve">1.9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</x:si>
  <x:si>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</x:si>
  <x:si>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</x:si>
  <x:si>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</x:si>
  <x:si>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</x:si>
  <x:si>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</x:si>
  <x:si>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1.15</x:t>
  </x:si>
  <x:si>
    <x:t xml:space="preserve">Drinking fountain / bubbler</x:t>
  </x:si>
  <x:si>
    <x:t xml:space="preserve">2.1</x:t>
  </x:si>
  <x:si>
    <x:t xml:space="preserve">2.2</x:t>
  </x:si>
  <x:si>
    <x:t xml:space="preserve">2.3</x:t>
  </x:si>
  <x:si>
    <x:t xml:space="preserve">Sink mixer</x:t>
  </x:si>
  <x:si>
    <x:t xml:space="preserve">2.4</x:t>
  </x:si>
  <x:si>
    <x:t xml:space="preserve">Shower mixer (concealed)</x:t>
  </x:si>
  <x:si>
    <x:t xml:space="preserve">2.5</x:t>
  </x:si>
  <x:si>
    <x:t xml:space="preserve">Shower head + arm</x:t>
  </x:si>
  <x:si>
    <x:t xml:space="preserve">2.6</x:t>
  </x:si>
  <x:si>
    <x:t xml:space="preserve">Hand-held shower kit</x:t>
  </x:si>
  <x:si>
    <x:t xml:space="preserve">2.7</x:t>
  </x:si>
  <x:si>
    <x:t xml:space="preserve">Bath spout / filler</x:t>
  </x:si>
  <x:si>
    <x:t xml:space="preserve">2.8</x:t>
  </x:si>
  <x:si>
    <x:t xml:space="preserve">2.9</x:t>
  </x:si>
  <x:si>
    <x:t xml:space="preserve">WC seat &amp; cover</x:t>
  </x:si>
  <x:si>
    <x:t xml:space="preserve">2.10</x:t>
  </x:si>
  <x:si>
    <x:t xml:space="preserve">2.11</x:t>
  </x:si>
  <x:si>
    <x:t xml:space="preserve">Hose tap / garden tap</x:t>
  </x:si>
  <x:si>
    <x:t xml:space="preserve">2.12</x:t>
  </x:si>
  <x:si>
    <x:t xml:space="preserve">Stop tap / mini stop</x:t>
  </x:si>
  <x:si>
    <x:t xml:space="preserve">2.13</x:t>
  </x:si>
  <x:si>
    <x:t xml:space="preserve">2.14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</x:si>
  <x:si>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</x:si>
  <x:si>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</x:si>
  <x:si>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</x:si>
  <x:si>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</x:si>
  <x:si>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3.5</x:t>
  </x:si>
  <x:si>
    <x:t xml:space="preserve">3.6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</x:si>
  <x:si>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</x:si>
  <x:si>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</x:si>
  <x:si>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</x:si>
  <x:si>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</x:si>
  <x:si>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</x:si>
  <x:si>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3.12</x:t>
  </x:si>
  <x:si>
    <x:t xml:space="preserve">3.13</x:t>
  </x:si>
  <x:si>
    <x:t xml:space="preserve">3.14</x:t>
  </x:si>
  <x:si>
    <x:t xml:space="preserve">3.15</x:t>
  </x:si>
  <x:si>
    <x:t xml:space="preserve">3.16</x:t>
  </x:si>
  <x:si>
    <x:t xml:space="preserve">Backflow prevention device</x:t>
  </x:si>
  <x:si>
    <x:t xml:space="preserve">3.17</x:t>
  </x:si>
  <x:si>
    <x:t xml:space="preserve">3.18</x:t>
  </x:si>
  <x:si>
    <x:t xml:space="preserve">4.1</x:t>
  </x:si>
  <x:si>
    <x:t xml:space="preserve">4.2</x:t>
  </x:si>
  <x:si>
    <x:t xml:space="preserve">4.3</x:t>
  </x:si>
  <x:si>
    <x:t xml:space="preserve">4.4</x:t>
  </x:si>
  <x:si>
    <x:t xml:space="preserve">4.5</x:t>
  </x:si>
  <x:si>
    <x:t xml:space="preserve">4.6</x:t>
  </x:si>
  <x:si>
    <x:t xml:space="preserve">4.7</x:t>
  </x:si>
  <x:si>
    <x:t xml:space="preserve">4.8</x:t>
  </x:si>
  <x:si>
    <x:t xml:space="preserve">4.9</x:t>
  </x:si>
  <x:si>
    <x:t xml:space="preserve">4.10</x:t>
  </x:si>
  <x:si>
    <x:t xml:space="preserve">4.11</x:t>
  </x:si>
  <x:si>
    <x:t xml:space="preserve">4.12</x:t>
  </x:si>
  <x:si>
    <x:t xml:space="preserve">5.1</x:t>
  </x:si>
  <x:si>
    <x:t xml:space="preserve">5.2</x:t>
  </x:si>
  <x:si>
    <x:t xml:space="preserve">5.3</x:t>
  </x:si>
  <x:si>
    <x:t xml:space="preserve">5.4</x:t>
  </x:si>
  <x:si>
    <x:t xml:space="preserve">5.5</x:t>
  </x:si>
  <x:si>
    <x:t xml:space="preserve">5.6</x:t>
  </x:si>
  <x:si>
    <x:t xml:space="preserve">5.7</x:t>
  </x:si>
  <x:si>
    <x:t xml:space="preserve">5.8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</x:si>
  <x:si>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</x:si>
  <x:si>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</x:si>
  <x:si>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</x:si>
  <x:si>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</x:si>
  <x:si>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</x:si>
  <x:si>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5.14</x:t>
  </x:si>
  <x:si>
    <x:t xml:space="preserve">5.15</x:t>
  </x:si>
  <x:si>
    <x:t xml:space="preserve">Inspection opening (IO)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</x:si>
  <x:si>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</x:si>
  <x:si>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</x:si>
  <x:si>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</x:si>
  <x:si>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</x:si>
  <x:si>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</x:si>
  <x:si>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Boundary trap</x:t>
  </x:si>
  <x:si>
    <x:t xml:space="preserve">5.21</x:t>
  </x:si>
  <x:si>
    <x:t xml:space="preserve">6.1</x:t>
  </x:si>
  <x:si>
    <x:t xml:space="preserve">6.2</x:t>
  </x:si>
  <x:si>
    <x:t xml:space="preserve">Overflow outlet</x:t>
  </x:si>
  <x:si>
    <x:t xml:space="preserve">6.3</x:t>
  </x:si>
  <x:si>
    <x:t xml:space="preserve">Downpipe - PVC (DN: ___)</x:t>
  </x:si>
  <x:si>
    <x:t xml:space="preserve">6.4</x:t>
  </x:si>
  <x:si>
    <x:t xml:space="preserve">6.5</x:t>
  </x:si>
  <x:si>
    <x:t xml:space="preserve">Box gutter / valley gutter</x:t>
  </x:si>
  <x:si>
    <x:t xml:space="preserve">6.6</x:t>
  </x:si>
  <x:si>
    <x:t xml:space="preserve">Eaves gutter</x:t>
  </x:si>
  <x:si>
    <x:t xml:space="preserve">6.7</x:t>
  </x:si>
  <x:si>
    <x:t xml:space="preserve">6.8</x:t>
  </x:si>
  <x:si>
    <x:t xml:space="preserve">6.9</x:t>
  </x:si>
  <x:si>
    <x:t xml:space="preserve">Surface grate / channel drain</x:t>
  </x:si>
  <x:si>
    <x:t xml:space="preserve">6.10</x:t>
  </x:si>
  <x:si>
    <x:t xml:space="preserve">OSD tank / detention tank</x:t>
  </x:si>
  <x:si>
    <x:t xml:space="preserve">6.11</x:t>
  </x:si>
  <x:si>
    <x:t xml:space="preserve">Siphonic outlet (where specified)</x:t>
  </x:si>
  <x:si>
    <x:t xml:space="preserve">6.12</x:t>
  </x:si>
  <x:si>
    <x:t xml:space="preserve">7.1</x:t>
  </x:si>
  <x:si>
    <x:t xml:space="preserve">Sprinkler head - pendant</x:t>
  </x:si>
  <x:si>
    <x:t xml:space="preserve">7.2</x:t>
  </x:si>
  <x:si>
    <x:t xml:space="preserve">Sprinkler head - upright</x:t>
  </x:si>
  <x:si>
    <x:t xml:space="preserve">7.3</x:t>
  </x:si>
  <x:si>
    <x:t xml:space="preserve">Sprinkler head - sidewall / concealed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</x:si>
  <x:si>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</x:si>
  <x:si>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</x:si>
  <x:si>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</x:si>
  <x:si>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</x:si>
  <x:si>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</x:si>
  <x:si>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7.9</x:t>
  </x:si>
  <x:si>
    <x:t xml:space="preserve">Flow switch</x:t>
  </x:si>
  <x:si>
    <x:t xml:space="preserve">7.10</x:t>
  </x:si>
  <x:si>
    <x:t xml:space="preserve">Pressure switch</x:t>
  </x:si>
  <x:si>
    <x:t xml:space="preserve">7.11</x:t>
  </x:si>
  <x:si>
    <x:t xml:space="preserve">7.12</x:t>
  </x:si>
  <x:si>
    <x:t xml:space="preserve">7.13</x:t>
  </x:si>
  <x:si>
    <x:t xml:space="preserve">Fire hose reel</x:t>
  </x:si>
  <x:si>
    <x:t xml:space="preserve">7.14</x:t>
  </x:si>
  <x:si>
    <x:t xml:space="preserve">Fire hydrant booster (external)</x:t>
  </x:si>
  <x:si>
    <x:t xml:space="preserve">7.15</x:t>
  </x:si>
  <x:si>
    <x:t xml:space="preserve">7.16</x:t>
  </x:si>
  <x:si>
    <x:t xml:space="preserve">7.17</x:t>
  </x:si>
  <x:si>
    <x:t xml:space="preserve">8.1</x:t>
  </x:si>
  <x:si>
    <x:t xml:space="preserve">8.2</x:t>
  </x:si>
  <x:si>
    <x:t xml:space="preserve">8.3</x:t>
  </x:si>
  <x:si>
    <x:t xml:space="preserve">Gas meter</x:t>
  </x:si>
  <x:si>
    <x:t xml:space="preserve">8.4</x:t>
  </x:si>
  <x:si>
    <x:t xml:space="preserve">8.5</x:t>
  </x:si>
  <x:si>
    <x:t xml:space="preserve">Gas regulator</x:t>
  </x:si>
  <x:si>
    <x:t xml:space="preserve">8.6</x:t>
  </x:si>
  <x:si>
    <x:t xml:space="preserve">9.1</x:t>
  </x:si>
  <x:si>
    <x:t xml:space="preserve">9.2</x:t>
  </x:si>
  <x:si>
    <x:t xml:space="preserve">9.3</x:t>
  </x:si>
  <x:si>
    <x:t xml:space="preserve">Sprinkler hydrostatic test (per main)</x:t>
  </x:si>
  <x:si>
    <x:t xml:space="preserve">9.4</x:t>
  </x:si>
  <x:si>
    <x:t xml:space="preserve">Hydrant flow test (per riser)</x:t>
  </x:si>
  <x:si>
    <x:t xml:space="preserve">9.5</x:t>
  </x:si>
  <x:si>
    <x:t xml:space="preserve">9.6</x:t>
  </x:si>
  <x:si>
    <x:t xml:space="preserve">Disinfection / chlorination (per system)</x:t>
  </x:si>
  <x:si>
    <x:t xml:space="preserve">Assembly
Ref</x:t>
  </x:si>
  <x:si>
    <x:t xml:space="preserve">Extended
Qty</x:t>
  </x:si>
  <x:si>
    <x:t xml:space="preserve">P</x:t>
  </x:si>
  <x:si>
    <x:t xml:space="preserve">To stack</x:t>
  </x:si>
  <x:si>
    <x:t xml:space="preserve">Labour - plumber rough-in</x:t>
  </x:si>
  <x:si>
    <x:t xml:space="preserve">Pre-wall stage</x:t>
  </x:si>
  <x:si>
    <x:t xml:space="preserve">Labour - plumber fit-off</x:t>
  </x:si>
  <x:si>
    <x:t xml:space="preserve">Labour - plumber test &amp; commission</x:t>
  </x:si>
  <x:si>
    <x:t xml:space="preserve">ASSEMBLY 1 SUBTOTAL</x:t>
  </x:si>
  <x:si>
    <x:t xml:space="preserve">Carries pan load</x:t>
  </x:si>
  <x:si>
    <x:t xml:space="preserve">Final fixing</x:t>
  </x:si>
  <x:si>
    <x:t xml:space="preserve">ASSEMBLY 2 SUBTOTAL</x:t>
  </x:si>
  <x:si>
    <x:t xml:space="preserve">QTO Ref 1.6</x:t>
  </x:si>
  <x:si>
    <x:t xml:space="preserve">Wall bracket / hanging system</x:t>
  </x:si>
  <x:si>
    <x:t xml:space="preserve">Confirm spec</x:t>
  </x:si>
  <x:si>
    <x:t xml:space="preserve">Pop-up waste / plug</x:t>
  </x:si>
  <x:si>
    <x:t xml:space="preserve">P-trap / S-trap (chrome)</x:t>
  </x:si>
  <x:si>
    <x:t xml:space="preserve">Mini stops / isolation (hot &amp; cold)</x:t>
  </x:si>
  <x:si>
    <x:t xml:space="preserve">Labour - plumber test</x:t>
  </x:si>
  <x:si>
    <x:t xml:space="preserve">ASSEMBLY 3 SUBTOTAL</x:t>
  </x:si>
  <x:si>
    <x:t xml:space="preserve">QTO Ref 1.13</x:t>
  </x:si>
  <x:si>
    <x:t xml:space="preserve">Shower mixer (concealed body)</x:t>
  </x:si>
  <x:si>
    <x:t xml:space="preserve">50% have hand-held</x:t>
  </x:si>
  <x:si>
    <x:t xml:space="preserve">Trap (P-trap, in slab)</x:t>
  </x:si>
  <x:si>
    <x:t xml:space="preserve">To mixer</x:t>
  </x:si>
  <x:si>
    <x:t xml:space="preserve">Wall fixing for mixer body</x:t>
  </x:si>
  <x:si>
    <x:t xml:space="preserve">Labour - plumber fit-off (mixer + head)</x:t>
  </x:si>
  <x:si>
    <x:t xml:space="preserve">ASSEMBLY 4 SUBTOTAL</x:t>
  </x:si>
  <x:si>
    <x:t xml:space="preserve">QTO Ref 1.5</x:t>
  </x:si>
  <x:si>
    <x:t xml:space="preserve">By electrician</x:t>
  </x:si>
  <x:si>
    <x:t xml:space="preserve">Mini stop / isolation</x:t>
  </x:si>
  <x:si>
    <x:t xml:space="preserve">Labour - test &amp; commission</x:t>
  </x:si>
  <x:si>
    <x:t xml:space="preserve">ASSEMBLY 5 SUBTOTAL</x:t>
  </x:si>
  <x:si>
    <x:t xml:space="preserve">QTO Ref 3.2</x:t>
  </x:si>
  <x:si>
    <x:t xml:space="preserve">1 per 2.5m typical</x:t>
  </x:si>
  <x:si>
    <x:t xml:space="preserve">1 per 1.5m</x:t>
  </x:si>
  <x:si>
    <x:t xml:space="preserve">Concrete anchor / fixing</x:t>
  </x:si>
  <x:si>
    <x:t xml:space="preserve">Brazing rod &amp; flux</x:t>
  </x:si>
  <x:si>
    <x:t xml:space="preserve">Or press-fit consumables</x:t>
  </x:si>
  <x:si>
    <x:t xml:space="preserve">1 per 5m</x:t>
  </x:si>
  <x:si>
    <x:t xml:space="preserve">Scissor lift / EWP</x:t>
  </x:si>
  <x:si>
    <x:t xml:space="preserve">ASSEMBLY 6 SUBTOTAL</x:t>
  </x:si>
  <x:si>
    <x:t xml:space="preserve">QTO Ref 3.7</x:t>
  </x:si>
  <x:si>
    <x:t xml:space="preserve">Sundries</x:t>
  </x:si>
  <x:si>
    <x:t xml:space="preserve">Labour - plumber welding</x:t>
  </x:si>
  <x:si>
    <x:t xml:space="preserve">ASSEMBLY 7 SUBTOTAL</x:t>
  </x:si>
  <x:si>
    <x:t xml:space="preserve">Isolation valves (cold in, hot out)</x:t>
  </x:si>
  <x:si>
    <x:t xml:space="preserve">Power circuit (by electrician)</x:t>
  </x:si>
  <x:si>
    <x:t xml:space="preserve">Dedicated 15A/20A circuit</x:t>
  </x:si>
  <x:si>
    <x:t xml:space="preserve">Labour - electrician (power)</x:t>
  </x:si>
  <x:si>
    <x:t xml:space="preserve">Labour - commissioning + TMV set</x:t>
  </x:si>
  <x:si>
    <x:t xml:space="preserve">ASSEMBLY 8 SUBTOTAL</x:t>
  </x:si>
  <x:si>
    <x:t xml:space="preserve">QTO Ref 5.4</x:t>
  </x:si>
  <x:si>
    <x:t xml:space="preserve">1 per 1.5m horizontal</x:t>
  </x:si>
  <x:si>
    <x:t xml:space="preserve">Solvent cement &amp; primer</x:t>
  </x:si>
  <x:si>
    <x:t xml:space="preserve">1:60 fall typical</x:t>
  </x:si>
  <x:si>
    <x:t xml:space="preserve">ASSEMBLY 9 SUBTOTAL</x:t>
  </x:si>
  <x:si>
    <x:t xml:space="preserve">QTO Ref 5.9</x:t>
  </x:si>
  <x:si>
    <x:t xml:space="preserve">Fewer than above-ground</x:t>
  </x:si>
  <x:si>
    <x:t xml:space="preserve">m³</x:t>
  </x:si>
  <x:si>
    <x:t xml:space="preserve">100mm bed + surround</x:t>
  </x:si>
  <x:si>
    <x:t xml:space="preserve">Labour - plumber lay &amp; joint</x:t>
  </x:si>
  <x:si>
    <x:t xml:space="preserve">Plus fall set-out</x:t>
  </x:si>
  <x:si>
    <x:t xml:space="preserve">Machine dig</x:t>
  </x:si>
  <x:si>
    <x:t xml:space="preserve">Plate compactor</x:t>
  </x:si>
  <x:si>
    <x:t xml:space="preserve">ASSEMBLY 10 SUBTOTAL</x:t>
  </x:si>
  <x:si>
    <x:t xml:space="preserve">QTO Ref 5.13</x:t>
  </x:si>
  <x:si>
    <x:t xml:space="preserve">Trap / P-trap (in slab)</x:t>
  </x:si>
  <x:si>
    <x:t xml:space="preserve">To stack/main</x:t>
  </x:si>
  <x:si>
    <x:t xml:space="preserve">Solvent cement</x:t>
  </x:si>
  <x:si>
    <x:t xml:space="preserve">Labour - plumber rough-in (in slab)</x:t>
  </x:si>
  <x:si>
    <x:t xml:space="preserve">Labour - plumber fit-off (grate)</x:t>
  </x:si>
  <x:si>
    <x:t xml:space="preserve">ASSEMBLY 11 SUBTOTAL</x:t>
  </x:si>
  <x:si>
    <x:t xml:space="preserve">QTO Ref 6.3</x:t>
  </x:si>
  <x:si>
    <x:t xml:space="preserve">Mostly straight runs</x:t>
  </x:si>
  <x:si>
    <x:t xml:space="preserve">Wall bracket / saddle clip</x:t>
  </x:si>
  <x:si>
    <x:t xml:space="preserve">External access</x:t>
  </x:si>
  <x:si>
    <x:t xml:space="preserve">ASSEMBLY 12 SUBTOTAL</x:t>
  </x:si>
  <x:si>
    <x:t xml:space="preserve">QTO Ref 7.1</x:t>
  </x:si>
  <x:si>
    <x:t xml:space="preserve">Concrete anchor</x:t>
  </x:si>
  <x:si>
    <x:t xml:space="preserve">Escutcheon plate / cover</x:t>
  </x:si>
  <x:si>
    <x:t xml:space="preserve">Final fix</x:t>
  </x:si>
  <x:si>
    <x:t xml:space="preserve">Spare head allocation (per cabinet)</x:t>
  </x:si>
  <x:si>
    <x:t xml:space="preserve">1 spare per 20 heads</x:t>
  </x:si>
  <x:si>
    <x:t xml:space="preserve">Labour - fit-off (escutcheon)</x:t>
  </x:si>
  <x:si>
    <x:t xml:space="preserve">ASSEMBLY 13 SUBTOTAL</x:t>
  </x:si>
  <x:si>
    <x:t xml:space="preserve">QTO Ref 7.5</x:t>
  </x:si>
  <x:si>
    <x:t xml:space="preserve">1 per 2m</x:t>
  </x:si>
  <x:si>
    <x:t xml:space="preserve">Sway bracing (lateral + longitudinal)</x:t>
  </x:si>
  <x:si>
    <x:t xml:space="preserve">1 per 20m + at branches</x:t>
  </x:si>
  <x:si>
    <x:t xml:space="preserve">ASSEMBLY 14 SUBTOTAL</x:t>
  </x:si>
  <x:si>
    <x:t xml:space="preserve">QTO Ref 7.12</x:t>
  </x:si>
  <x:si>
    <x:t xml:space="preserve">Hydrant cabinet (recessed/surface)</x:t>
  </x:si>
  <x:si>
    <x:t xml:space="preserve">Branch tee off main (DN65)</x:t>
  </x:si>
  <x:si>
    <x:t xml:space="preserve">Concrete anchors</x:t>
  </x:si>
  <x:si>
    <x:t xml:space="preserve">ASSEMBLY 15 SUBTOTAL</x:t>
  </x:si>
  <x:si>
    <x:t xml:space="preserve">QTO Ref 7.13</x:t>
  </x:si>
  <x:si>
    <x:t xml:space="preserve">Hose reel cabinet (recessed/surface)</x:t>
  </x:si>
  <x:si>
    <x:t xml:space="preserve">Labour - fit-off + commission</x:t>
  </x:si>
  <x:si>
    <x:t xml:space="preserve">ASSEMBLY 16 SUBTOTAL</x:t>
  </x:si>
  <x:si>
    <x:t xml:space="preserve">ASSEMBLY COST SUMMARY</x:t>
  </x:si>
  <x:si>
    <x:t xml:space="preserve">Assembly</x:t>
  </x:si>
  <x:si>
    <x:t xml:space="preserve">Assembly Total ($)</x:t>
  </x:si>
  <x:si>
    <x:t xml:space="preserve">Shower (rough-in + fit-off)</x:t>
  </x:si>
  <x:si>
    <x:t xml:space="preserve">Sprinkler Head — Pendant</x:t>
  </x:si>
  <x:si>
    <x:t xml:space="preserve">Fire Hose Reel</x:t>
  </x:si>
  <x:si>
    <x:t xml:space="preserve">GRAND TOTAL (ALL ASSEMBLIES)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</x:si>
</x:sst>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General"/>
  </x:numFmts>
  <x:fonts count="1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4E79"/>
      <x:name val="Calibri"/>
    </x:font>
    <x:font>
      <x:b/>
      <x:sz val="11"/>
      <x:color rgb="FF1F4E79"/>
      <x:name val="Calibri"/>
    </x:font>
    <x:font>
      <x:b/>
      <x:sz val="11"/>
      <x:color rgb="FFFFFFFF"/>
      <x:name val="Calibri"/>
    </x:font>
    <x:font>
      <x:i/>
      <x:sz val="10"/>
      <x:color rgb="FF595959"/>
      <x:name val="Calibri"/>
    </x:font>
    <x:font>
      <x:sz val="11"/>
      <x:name val="Calibri"/>
    </x:font>
    <x:font>
      <x:b/>
      <x:sz val="11"/>
      <x:name val="Calibri"/>
    </x:font>
    <x:font>
      <x:i/>
      <x:sz val="10"/>
      <x:color rgb="FF808080"/>
      <x:name val="Calibri"/>
    </x:font>
    <x:font>
      <x:b/>
      <x:sz val="12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D9D9D9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5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1">
      <x:alignment horizontal="left" vertical="center" wrapText="1"/>
    </x:xf>
    <x:xf numFmtId="164" fontId="5" fillId="0" borderId="0" xfId="0" applyFont="1" applyBorder="0" applyAlignment="1">
      <x:alignment horizontal="left" vertical="center" wrapText="1"/>
    </x:xf>
    <x:xf numFmtId="164" fontId="6" fillId="2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center" vertical="center" wrapText="1"/>
    </x:xf>
    <x:xf numFmtId="164" fontId="0" fillId="3" borderId="0" xfId="0" applyFont="0" applyBorder="0" applyAlignment="0">
      <x:alignment horizontal="general" vertical="bottom" wrapText="0"/>
    </x:xf>
    <x:xf numFmtId="164" fontId="6" fillId="3" borderId="0" xfId="0" applyFont="1" applyBorder="1" applyAlignment="1">
      <x:alignment horizontal="left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0" fillId="0" borderId="1" xfId="0" applyFont="0" applyBorder="1" applyAlignment="0">
      <x:alignment horizontal="general" vertical="bottom" wrapText="0"/>
    </x:xf>
    <x:xf numFmtId="164" fontId="8" fillId="0" borderId="1" xfId="0" applyFont="1" applyBorder="1" applyAlignment="1">
      <x:alignment horizontal="left" vertical="center" wrapText="1"/>
    </x:xf>
    <x:xf numFmtId="164" fontId="0" fillId="4" borderId="1" xfId="0" applyFont="0" applyBorder="1" applyAlignment="1">
      <x:alignment horizontal="center" vertical="center" wrapText="1"/>
    </x:xf>
    <x:xf numFmtId="165" fontId="9" fillId="5" borderId="1" xfId="0" applyFont="1" applyBorder="1" applyAlignment="1">
      <x:alignment horizontal="center" vertical="center" wrapText="1"/>
    </x:xf>
    <x:xf numFmtId="164" fontId="7" fillId="0" borderId="0" xfId="0" applyFont="1" applyBorder="1" applyAlignment="1">
      <x:alignment horizontal="left" vertical="center" wrapText="1"/>
    </x:xf>
    <x:xf numFmtId="164" fontId="10" fillId="0" borderId="0" xfId="0" applyFont="1" applyBorder="0" applyAlignment="1">
      <x:alignment horizontal="left" vertical="center" wrapText="1"/>
    </x:xf>
    <x:xf numFmtId="164" fontId="9" fillId="0" borderId="1" xfId="0" applyFont="1" applyBorder="1" applyAlignment="1">
      <x:alignment horizontal="center" vertical="center" wrapText="1"/>
    </x:xf>
    <x:xf numFmtId="164" fontId="9" fillId="0" borderId="1" xfId="0" applyFont="1" applyBorder="1" applyAlignment="1">
      <x:alignment horizontal="left" vertical="center" wrapText="1"/>
    </x:xf>
    <x:xf numFmtId="164" fontId="8" fillId="4" borderId="1" xfId="0" applyFont="1" applyBorder="1" applyAlignment="1">
      <x:alignment horizontal="center" vertical="center" wrapText="1"/>
    </x:xf>
    <x:xf numFmtId="165" fontId="8" fillId="5" borderId="1" xfId="0" applyFont="1" applyBorder="1" applyAlignment="1">
      <x:alignment horizontal="center" vertical="center" wrapText="1"/>
    </x:xf>
    <x:xf numFmtId="164" fontId="0" fillId="6" borderId="1" xfId="0" applyFont="0" applyBorder="1" applyAlignment="0">
      <x:alignment horizontal="general" vertical="bottom" wrapText="0"/>
    </x:xf>
    <x:xf numFmtId="164" fontId="9" fillId="6" borderId="0" xfId="0" applyFont="1" applyBorder="0" applyAlignment="1">
      <x:alignment horizontal="left" vertical="center" wrapText="1"/>
    </x:xf>
    <x:xf numFmtId="165" fontId="9" fillId="6" borderId="1" xfId="0" applyFont="1" applyBorder="1" applyAlignment="1">
      <x:alignment horizontal="center" vertical="center" wrapText="1"/>
    </x:xf>
    <x:xf numFmtId="164" fontId="6" fillId="2" borderId="0" xfId="0" applyFont="1" applyBorder="1" applyAlignment="1">
      <x:alignment horizontal="left" vertical="center" wrapText="1"/>
    </x:xf>
    <x:xf numFmtId="164" fontId="9" fillId="6" borderId="1" xfId="0" applyFont="1" applyBorder="1" applyAlignment="1">
      <x:alignment horizontal="left" vertical="center" wrapText="1"/>
    </x:xf>
    <x:xf numFmtId="164" fontId="11" fillId="2" borderId="1" xfId="0" applyFont="1" applyBorder="1" applyAlignment="1">
      <x:alignment horizontal="left" vertical="center" wrapText="1"/>
    </x:xf>
    <x:xf numFmtId="165" fontId="11" fillId="2" borderId="1" xfId="0" applyFont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ba3ab0a9841cf" /><Relationship Type="http://schemas.openxmlformats.org/officeDocument/2006/relationships/theme" Target="/xl/theme/theme1.xml" Id="R766196341d234e62" /><Relationship Type="http://schemas.openxmlformats.org/officeDocument/2006/relationships/sharedStrings" Target="/xl/sharedStrings.xml" Id="Rc9dd7d847bc54a45" /><Relationship Type="http://schemas.openxmlformats.org/officeDocument/2006/relationships/worksheet" Target="/xl/worksheets/sheet1.xml" Id="Rfbd21bfe2cef45f1" /><Relationship Type="http://schemas.openxmlformats.org/officeDocument/2006/relationships/worksheet" Target="/xl/worksheets/sheet2.xml" Id="R142e394ca9f7432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4" ySplit="9" topLeftCell="E10" activePane="bottomRight" state="frozen"/>
    </x:sheetView>
  </x:sheetViews>
  <x:sheetFormatPr defaultColWidth="8.6796875" defaultRowHeight="15"/>
  <x:cols>
    <x:col min="1" max="1" width="9" hidden="0" customWidth="1"/>
    <x:col min="2" max="2" width="25" hidden="0" customWidth="1"/>
    <x:col min="3" max="3" width="50" hidden="0" customWidth="1"/>
    <x:col min="4" max="4" width="8" hidden="0" customWidth="1"/>
    <x:col min="5" max="12" width="12.5" hidden="0" customWidth="1"/>
    <x:col min="13" max="13" width="11" hidden="0" customWidth="1"/>
    <x:col min="14" max="14" width="30" hidden="0" customWidth="1"/>
  </x:cols>
  <x:sheetData>
    <x:row r="1" ht="24" hidden="0" customHeight="1">
      <x:c r="A1" s="1" t="str">
        <x:v>VÍZ-CSATORNA MENNYISÉGFELVÉTEL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3" ht="15" hidden="0">
      <x:c r="A3" s="2" t="str">
        <x:v>Projekt:</x:v>
      </x:c>
    </x:row>
    <x:row r="4" ht="15" hidden="0">
      <x:c r="A4" s="2" t="str">
        <x:v>Megrendelő:</x:v>
      </x:c>
    </x:row>
    <x:row r="5" ht="15" hidden="0">
      <x:c r="A5" s="2" t="str">
        <x:v>Dátum:</x:v>
      </x:c>
    </x:row>
    <x:row r="6" ht="28.350000381469727" hidden="0">
      <x:c r="A6" s="2" t="str">
        <x:v>Készítette:</x:v>
      </x:c>
    </x:row>
    <x:row r="8" ht="30" hidden="0" customHeight="1">
      <x:c r="A8" s="3" t="str">
        <x:v>Tétel-
azonosító</x:v>
      </x:c>
      <x:c r="B8" s="3" t="str">
        <x:v>Kategória</x:v>
      </x:c>
      <x:c r="C8" s="3" t="str">
        <x:v>Megnevezés / műszaki leírás</x:v>
      </x:c>
      <x:c r="D8" s="3" t="str">
        <x:v>Mértékegység</x:v>
      </x:c>
      <x:c r="E8" s="3" t="str">
        <x:v>Terv 1</x:v>
      </x:c>
      <x:c r="F8" s="3" t="str">
        <x:v>Terv 2</x:v>
      </x:c>
      <x:c r="G8" s="3" t="str">
        <x:v>Terv 3</x:v>
      </x:c>
      <x:c r="H8" s="3" t="str">
        <x:v>Terv 4</x:v>
      </x:c>
      <x:c r="I8" s="3" t="str">
        <x:v>Terv 5</x:v>
      </x:c>
      <x:c r="J8" s="3" t="str">
        <x:v>Terv 6</x:v>
      </x:c>
      <x:c r="K8" s="3" t="str">
        <x:v>Terv 7</x:v>
      </x:c>
      <x:c r="L8" s="3" t="str">
        <x:v>Terv 8</x:v>
      </x:c>
      <x:c r="M8" s="3" t="s">
        <x:v>0</x:v>
      </x:c>
      <x:c r="N8" s="3" t="str">
        <x:v>Megjegyzés</x:v>
      </x:c>
    </x:row>
    <x:row r="9" ht="18" hidden="0" customHeight="1">
      <x:c r="E9" s="4" t="str">
        <x:v>Tervszám</x:v>
      </x:c>
      <x:c r="F9" s="4" t="str">
        <x:v>Tervszám</x:v>
      </x:c>
      <x:c r="G9" s="4" t="str">
        <x:v>Tervszám</x:v>
      </x:c>
      <x:c r="H9" s="4" t="str">
        <x:v>Tervszám</x:v>
      </x:c>
      <x:c r="I9" s="4" t="str">
        <x:v>Tervszám</x:v>
      </x:c>
      <x:c r="J9" s="4" t="str">
        <x:v>Tervszám</x:v>
      </x:c>
      <x:c r="K9" s="4" t="str">
        <x:v>Tervszám</x:v>
      </x:c>
      <x:c r="L9" s="4" t="str">
        <x:v>Tervszám</x:v>
      </x:c>
    </x:row>
    <x:row r="10" ht="19.5" hidden="0" customHeight="1">
      <x:c r="A10" s="5"/>
      <x:c r="B10" s="6" t="str">
        <x:v>SZANITER BERENDEZÉSEK</x:v>
      </x:c>
      <x:c r="C10" s="6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</x:row>
    <x:row r="11" ht="15" hidden="0">
      <x:c r="A11" s="7" t="s">
        <x:v>1</x:v>
      </x:c>
      <x:c r="B11" s="8"/>
      <x:c r="C11" s="9" t="str">
        <x:v>WC-csésze - álló kivitelű (monoblokkos)</x:v>
      </x:c>
      <x:c r="D11" s="7" t="str">
        <x:v>db</x:v>
      </x:c>
      <x:c r="E11" s="10"/>
      <x:c r="F11" s="10"/>
      <x:c r="G11" s="10"/>
      <x:c r="H11" s="10"/>
      <x:c r="I11" s="10"/>
      <x:c r="J11" s="10"/>
      <x:c r="K11" s="10"/>
      <x:c r="L11" s="10"/>
      <x:c r="M11" s="11" t="n">
        <x:f aca="0">SUM(E11:L11)</x:f>
        <x:v>0</x:v>
      </x:c>
      <x:c r="N11" s="8"/>
    </x:row>
    <x:row r="12" ht="15" hidden="0">
      <x:c r="A12" s="7" t="s">
        <x:v>2</x:v>
      </x:c>
      <x:c r="B12" s="8"/>
      <x:c r="C12" s="9" t="str">
        <x:v>WC-csésze - fali kivitelű (falba épített öblítőtartály)</x:v>
      </x:c>
      <x:c r="D12" s="7" t="str">
        <x:v>db</x:v>
      </x:c>
      <x:c r="E12" s="10"/>
      <x:c r="F12" s="10"/>
      <x:c r="G12" s="10"/>
      <x:c r="H12" s="10"/>
      <x:c r="I12" s="10"/>
      <x:c r="J12" s="10"/>
      <x:c r="K12" s="10"/>
      <x:c r="L12" s="10"/>
      <x:c r="M12" s="11" t="n">
        <x:f aca="0">SUM(E12:L12)</x:f>
        <x:v>0</x:v>
      </x:c>
      <x:c r="N12" s="8"/>
    </x:row>
    <x:row r="13" ht="15" hidden="0">
      <x:c r="A13" s="7" t="s">
        <x:v>3</x:v>
      </x:c>
      <x:c r="B13" s="8"/>
      <x:c r="C13" s="9" t="str">
        <x:v>falba épített öblítőtartály + szerelőnyílás</x:v>
      </x:c>
      <x:c r="D13" s="7" t="str">
        <x:v>db</x:v>
      </x:c>
      <x:c r="E13" s="10"/>
      <x:c r="F13" s="10"/>
      <x:c r="G13" s="10"/>
      <x:c r="H13" s="10"/>
      <x:c r="I13" s="10"/>
      <x:c r="J13" s="10"/>
      <x:c r="K13" s="10"/>
      <x:c r="L13" s="10"/>
      <x:c r="M13" s="11" t="n">
        <x:f aca="0">SUM(E13:L13)</x:f>
        <x:v>0</x:v>
      </x:c>
      <x:c r="N13" s="8"/>
    </x:row>
    <x:row r="14" ht="15" hidden="0">
      <x:c r="A14" s="7" t="s">
        <x:v>4</x:v>
      </x:c>
      <x:c r="B14" s="8"/>
      <x:c r="C14" s="9" t="str">
        <x:v>falba épített WC tartókeret (acél)</x:v>
      </x:c>
      <x:c r="D14" s="7" t="str">
        <x:v>db</x:v>
      </x:c>
      <x:c r="E14" s="10"/>
      <x:c r="F14" s="10"/>
      <x:c r="G14" s="10"/>
      <x:c r="H14" s="10"/>
      <x:c r="I14" s="10"/>
      <x:c r="J14" s="10"/>
      <x:c r="K14" s="10"/>
      <x:c r="L14" s="10"/>
      <x:c r="M14" s="11" t="n">
        <x:f aca="0">SUM(E14:L14)</x:f>
        <x:v>0</x:v>
      </x:c>
      <x:c r="N14" s="8"/>
    </x:row>
    <x:row r="15" ht="15" hidden="0">
      <x:c r="A15" s="7" t="s">
        <x:v>5</x:v>
      </x:c>
      <x:c r="B15" s="8"/>
      <x:c r="C15" s="9" t="str">
        <x:v>piszoár - fali kivitelű (érzékelő öblítés)</x:v>
      </x:c>
      <x:c r="D15" s="7" t="str">
        <x:v>db</x:v>
      </x:c>
      <x:c r="E15" s="10"/>
      <x:c r="F15" s="10"/>
      <x:c r="G15" s="10"/>
      <x:c r="H15" s="10"/>
      <x:c r="I15" s="10"/>
      <x:c r="J15" s="10"/>
      <x:c r="K15" s="10"/>
      <x:c r="L15" s="10"/>
      <x:c r="M15" s="11" t="n">
        <x:f aca="0">SUM(E15:L15)</x:f>
        <x:v>0</x:v>
      </x:c>
      <x:c r="N15" s="8"/>
    </x:row>
    <x:row r="16" ht="15" hidden="0">
      <x:c r="A16" s="7" t="s">
        <x:v>6</x:v>
      </x:c>
      <x:c r="B16" s="8"/>
      <x:c r="C16" s="9" t="str">
        <x:v>mosdó - fali kivitelű (szaniter porcelán)</x:v>
      </x:c>
      <x:c r="D16" s="7" t="str">
        <x:v>db</x:v>
      </x:c>
      <x:c r="E16" s="10"/>
      <x:c r="F16" s="10"/>
      <x:c r="G16" s="10"/>
      <x:c r="H16" s="10"/>
      <x:c r="I16" s="10"/>
      <x:c r="J16" s="10"/>
      <x:c r="K16" s="10"/>
      <x:c r="L16" s="10"/>
      <x:c r="M16" s="11" t="n">
        <x:f aca="0">SUM(E16:L16)</x:f>
        <x:v>0</x:v>
      </x:c>
      <x:c r="N16" s="8"/>
    </x:row>
    <x:row r="17" ht="15" hidden="0">
      <x:c r="A17" s="7" t="s">
        <x:v>7</x:v>
      </x:c>
      <x:c r="B17" s="8"/>
      <x:c r="C17" s="9" t="str">
        <x:v>mosdó - mosdópult / pult alatti</x:v>
      </x:c>
      <x:c r="D17" s="7" t="str">
        <x:v>db</x:v>
      </x:c>
      <x:c r="E17" s="10"/>
      <x:c r="F17" s="10"/>
      <x:c r="G17" s="10"/>
      <x:c r="H17" s="10"/>
      <x:c r="I17" s="10"/>
      <x:c r="J17" s="10"/>
      <x:c r="K17" s="10"/>
      <x:c r="L17" s="10"/>
      <x:c r="M17" s="11" t="n">
        <x:f aca="0">SUM(E17:L17)</x:f>
        <x:v>0</x:v>
      </x:c>
      <x:c r="N17" s="8"/>
    </x:row>
    <x:row r="18" ht="15" hidden="0">
      <x:c r="A18" s="7" t="s">
        <x:v>8</x:v>
      </x:c>
      <x:c r="B18" s="8"/>
      <x:c r="C18" s="9" t="str">
        <x:v>mosdó - félig süllyesztett</x:v>
      </x:c>
      <x:c r="D18" s="7" t="str">
        <x:v>db</x:v>
      </x:c>
      <x:c r="E18" s="10"/>
      <x:c r="F18" s="10"/>
      <x:c r="G18" s="10"/>
      <x:c r="H18" s="10"/>
      <x:c r="I18" s="10"/>
      <x:c r="J18" s="10"/>
      <x:c r="K18" s="10"/>
      <x:c r="L18" s="10"/>
      <x:c r="M18" s="11" t="n">
        <x:f aca="0">SUM(E18:L18)</x:f>
        <x:v>0</x:v>
      </x:c>
      <x:c r="N18" s="8"/>
    </x:row>
    <x:row r="19" ht="15" hidden="0">
      <x:c r="A19" s="7" t="s">
        <x:v>9</x:v>
      </x:c>
      <x:c r="B19" s="8"/>
      <x:c r="C19" s="9" t="str">
        <x:v>konyhai mosogató - egymedencés</x:v>
      </x:c>
      <x:c r="D19" s="7" t="str">
        <x:v>db</x:v>
      </x:c>
      <x:c r="E19" s="10"/>
      <x:c r="F19" s="10"/>
      <x:c r="G19" s="10"/>
      <x:c r="H19" s="10"/>
      <x:c r="I19" s="10"/>
      <x:c r="J19" s="10"/>
      <x:c r="K19" s="10"/>
      <x:c r="L19" s="10"/>
      <x:c r="M19" s="11" t="n">
        <x:f aca="0">SUM(E19:L19)</x:f>
        <x:v>0</x:v>
      </x:c>
      <x:c r="N19" s="8"/>
    </x:row>
    <x:row r="20" ht="15" hidden="0">
      <x:c r="A20" s="7" t="s">
        <x:v>10</x:v>
      </x:c>
      <x:c r="B20" s="8"/>
      <x:c r="C20" s="9" t="str">
        <x:v>konyhai mosogató - kétmedencés</x:v>
      </x:c>
      <x:c r="D20" s="7" t="str">
        <x:v>db</x:v>
      </x:c>
      <x:c r="E20" s="10"/>
      <x:c r="F20" s="10"/>
      <x:c r="G20" s="10"/>
      <x:c r="H20" s="10"/>
      <x:c r="I20" s="10"/>
      <x:c r="J20" s="10"/>
      <x:c r="K20" s="10"/>
      <x:c r="L20" s="10"/>
      <x:c r="M20" s="11" t="n">
        <x:f aca="0">SUM(E20:L20)</x:f>
        <x:v>0</x:v>
      </x:c>
      <x:c r="N20" s="8"/>
    </x:row>
    <x:row r="21" ht="15" hidden="0">
      <x:c r="A21" s="7" t="s">
        <x:v>11</x:v>
      </x:c>
      <x:c r="B21" s="8"/>
      <x:c r="C21" s="9" t="str">
        <x:v>mosóteknő</x:v>
      </x:c>
      <x:c r="D21" s="7" t="str">
        <x:v>db</x:v>
      </x:c>
      <x:c r="E21" s="10"/>
      <x:c r="F21" s="10"/>
      <x:c r="G21" s="10"/>
      <x:c r="H21" s="10"/>
      <x:c r="I21" s="10"/>
      <x:c r="J21" s="10"/>
      <x:c r="K21" s="10"/>
      <x:c r="L21" s="10"/>
      <x:c r="M21" s="11" t="n">
        <x:f aca="0">SUM(E21:L21)</x:f>
        <x:v>0</x:v>
      </x:c>
      <x:c r="N21" s="8"/>
    </x:row>
    <x:row r="22" ht="15" hidden="0">
      <x:c r="A22" s="7" t="s">
        <x:v>12</x:v>
      </x:c>
      <x:c r="B22" s="8"/>
      <x:c r="C22" s="9" t="str">
        <x:v>Takarítói kiöntő</x:v>
      </x:c>
      <x:c r="D22" s="7" t="str">
        <x:v>db</x:v>
      </x:c>
      <x:c r="E22" s="10"/>
      <x:c r="F22" s="10"/>
      <x:c r="G22" s="10"/>
      <x:c r="H22" s="10"/>
      <x:c r="I22" s="10"/>
      <x:c r="J22" s="10"/>
      <x:c r="K22" s="10"/>
      <x:c r="L22" s="10"/>
      <x:c r="M22" s="11" t="n">
        <x:f aca="0">SUM(E22:L22)</x:f>
        <x:v>0</x:v>
      </x:c>
      <x:c r="N22" s="8"/>
    </x:row>
    <x:row r="23" ht="15" hidden="0">
      <x:c r="A23" s="7" t="s">
        <x:v>13</x:v>
      </x:c>
      <x:c r="B23" s="8"/>
      <x:c r="C23" s="9" t="str">
        <x:v>Zuhanytálca</x:v>
      </x:c>
      <x:c r="D23" s="7" t="str">
        <x:v>db</x:v>
      </x:c>
      <x:c r="E23" s="10"/>
      <x:c r="F23" s="10"/>
      <x:c r="G23" s="10"/>
      <x:c r="H23" s="10"/>
      <x:c r="I23" s="10"/>
      <x:c r="J23" s="10"/>
      <x:c r="K23" s="10"/>
      <x:c r="L23" s="10"/>
      <x:c r="M23" s="11" t="n">
        <x:f aca="0">SUM(E23:L23)</x:f>
        <x:v>0</x:v>
      </x:c>
      <x:c r="N23" s="8"/>
    </x:row>
    <x:row r="24" ht="15" hidden="0">
      <x:c r="A24" s="7" t="s">
        <x:v>14</x:v>
      </x:c>
      <x:c r="B24" s="8"/>
      <x:c r="C24" s="9" t="str">
        <x:v>fürdőkád</x:v>
      </x:c>
      <x:c r="D24" s="7" t="str">
        <x:v>db</x:v>
      </x:c>
      <x:c r="E24" s="10"/>
      <x:c r="F24" s="10"/>
      <x:c r="G24" s="10"/>
      <x:c r="H24" s="10"/>
      <x:c r="I24" s="10"/>
      <x:c r="J24" s="10"/>
      <x:c r="K24" s="10"/>
      <x:c r="L24" s="10"/>
      <x:c r="M24" s="11" t="n">
        <x:f aca="0">SUM(E24:L24)</x:f>
        <x:v>0</x:v>
      </x:c>
      <x:c r="N24" s="8"/>
    </x:row>
    <x:row r="25" ht="15" hidden="0">
      <x:c r="A25" s="7" t="s">
        <x:v>15</x:v>
      </x:c>
      <x:c r="B25" s="8"/>
      <x:c r="C25" s="9" t="s">
        <x:v>16</x:v>
      </x:c>
      <x:c r="D25" s="7" t="str">
        <x:v>db</x:v>
      </x:c>
      <x:c r="E25" s="10"/>
      <x:c r="F25" s="10"/>
      <x:c r="G25" s="10"/>
      <x:c r="H25" s="10"/>
      <x:c r="I25" s="10"/>
      <x:c r="J25" s="10"/>
      <x:c r="K25" s="10"/>
      <x:c r="L25" s="10"/>
      <x:c r="M25" s="11" t="n">
        <x:f aca="0">SUM(E25:L25)</x:f>
        <x:v>0</x:v>
      </x:c>
      <x:c r="N25" s="8"/>
    </x:row>
    <x:row r="26" ht="19.5" hidden="0" customHeight="1">
      <x:c r="A26" s="5"/>
      <x:c r="B26" s="6" t="str">
        <x:v>CSAPTELEPEK ÉS SZERELVÉNYEK</x:v>
      </x:c>
      <x:c r="C26" s="6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</x:row>
    <x:row r="27" ht="15" hidden="0">
      <x:c r="A27" s="7" t="s">
        <x:v>17</x:v>
      </x:c>
      <x:c r="B27" s="8"/>
      <x:c r="C27" s="9" t="str">
        <x:v>mosdó mixer</x:v>
      </x:c>
      <x:c r="D27" s="7" t="str">
        <x:v>db</x:v>
      </x:c>
      <x:c r="E27" s="10"/>
      <x:c r="F27" s="10"/>
      <x:c r="G27" s="10"/>
      <x:c r="H27" s="10"/>
      <x:c r="I27" s="10"/>
      <x:c r="J27" s="10"/>
      <x:c r="K27" s="10"/>
      <x:c r="L27" s="10"/>
      <x:c r="M27" s="11" t="n">
        <x:f aca="0">SUM(E27:L27)</x:f>
        <x:v>0</x:v>
      </x:c>
      <x:c r="N27" s="8"/>
    </x:row>
    <x:row r="28" ht="15" hidden="0">
      <x:c r="A28" s="7" t="s">
        <x:v>18</x:v>
      </x:c>
      <x:c r="B28" s="8"/>
      <x:c r="C28" s="9" t="str">
        <x:v>mosdó tap (külön kezelendő hot/cold)</x:v>
      </x:c>
      <x:c r="D28" s="7" t="str">
        <x:v>db</x:v>
      </x:c>
      <x:c r="E28" s="10"/>
      <x:c r="F28" s="10"/>
      <x:c r="G28" s="10"/>
      <x:c r="H28" s="10"/>
      <x:c r="I28" s="10"/>
      <x:c r="J28" s="10"/>
      <x:c r="K28" s="10"/>
      <x:c r="L28" s="10"/>
      <x:c r="M28" s="11" t="n">
        <x:f aca="0">SUM(E28:L28)</x:f>
        <x:v>0</x:v>
      </x:c>
      <x:c r="N28" s="8"/>
    </x:row>
    <x:row r="29" ht="15" hidden="0">
      <x:c r="A29" s="7" t="s">
        <x:v>19</x:v>
      </x:c>
      <x:c r="B29" s="8"/>
      <x:c r="C29" s="9" t="s">
        <x:v>20</x:v>
      </x:c>
      <x:c r="D29" s="7" t="str">
        <x:v>db</x:v>
      </x:c>
      <x:c r="E29" s="10"/>
      <x:c r="F29" s="10"/>
      <x:c r="G29" s="10"/>
      <x:c r="H29" s="10"/>
      <x:c r="I29" s="10"/>
      <x:c r="J29" s="10"/>
      <x:c r="K29" s="10"/>
      <x:c r="L29" s="10"/>
      <x:c r="M29" s="11" t="n">
        <x:f aca="0">SUM(E29:L29)</x:f>
        <x:v>0</x:v>
      </x:c>
      <x:c r="N29" s="8"/>
    </x:row>
    <x:row r="30" ht="15" hidden="0">
      <x:c r="A30" s="7" t="s">
        <x:v>21</x:v>
      </x:c>
      <x:c r="B30" s="8"/>
      <x:c r="C30" s="9" t="s">
        <x:v>22</x:v>
      </x:c>
      <x:c r="D30" s="7" t="str">
        <x:v>db</x:v>
      </x:c>
      <x:c r="E30" s="10"/>
      <x:c r="F30" s="10"/>
      <x:c r="G30" s="10"/>
      <x:c r="H30" s="10"/>
      <x:c r="I30" s="10"/>
      <x:c r="J30" s="10"/>
      <x:c r="K30" s="10"/>
      <x:c r="L30" s="10"/>
      <x:c r="M30" s="11" t="n">
        <x:f aca="0">SUM(E30:L30)</x:f>
        <x:v>0</x:v>
      </x:c>
      <x:c r="N30" s="8"/>
    </x:row>
    <x:row r="31" ht="15" hidden="0">
      <x:c r="A31" s="7" t="s">
        <x:v>23</x:v>
      </x:c>
      <x:c r="B31" s="8"/>
      <x:c r="C31" s="9" t="s">
        <x:v>24</x:v>
      </x:c>
      <x:c r="D31" s="7" t="str">
        <x:v>db</x:v>
      </x:c>
      <x:c r="E31" s="10"/>
      <x:c r="F31" s="10"/>
      <x:c r="G31" s="10"/>
      <x:c r="H31" s="10"/>
      <x:c r="I31" s="10"/>
      <x:c r="J31" s="10"/>
      <x:c r="K31" s="10"/>
      <x:c r="L31" s="10"/>
      <x:c r="M31" s="11" t="n">
        <x:f aca="0">SUM(E31:L31)</x:f>
        <x:v>0</x:v>
      </x:c>
      <x:c r="N31" s="8"/>
    </x:row>
    <x:row r="32" ht="15" hidden="0">
      <x:c r="A32" s="7" t="s">
        <x:v>25</x:v>
      </x:c>
      <x:c r="B32" s="8"/>
      <x:c r="C32" s="9" t="s">
        <x:v>26</x:v>
      </x:c>
      <x:c r="D32" s="7" t="str">
        <x:v>db</x:v>
      </x:c>
      <x:c r="E32" s="10"/>
      <x:c r="F32" s="10"/>
      <x:c r="G32" s="10"/>
      <x:c r="H32" s="10"/>
      <x:c r="I32" s="10"/>
      <x:c r="J32" s="10"/>
      <x:c r="K32" s="10"/>
      <x:c r="L32" s="10"/>
      <x:c r="M32" s="11" t="n">
        <x:f aca="0">SUM(E32:L32)</x:f>
        <x:v>0</x:v>
      </x:c>
      <x:c r="N32" s="8"/>
    </x:row>
    <x:row r="33" ht="15" hidden="0">
      <x:c r="A33" s="7" t="s">
        <x:v>27</x:v>
      </x:c>
      <x:c r="B33" s="8"/>
      <x:c r="C33" s="9" t="s">
        <x:v>28</x:v>
      </x:c>
      <x:c r="D33" s="7" t="str">
        <x:v>db</x:v>
      </x:c>
      <x:c r="E33" s="10"/>
      <x:c r="F33" s="10"/>
      <x:c r="G33" s="10"/>
      <x:c r="H33" s="10"/>
      <x:c r="I33" s="10"/>
      <x:c r="J33" s="10"/>
      <x:c r="K33" s="10"/>
      <x:c r="L33" s="10"/>
      <x:c r="M33" s="11" t="n">
        <x:f aca="0">SUM(E33:L33)</x:f>
        <x:v>0</x:v>
      </x:c>
      <x:c r="N33" s="8"/>
    </x:row>
    <x:row r="34" ht="15" hidden="0">
      <x:c r="A34" s="7" t="s">
        <x:v>29</x:v>
      </x:c>
      <x:c r="B34" s="8"/>
      <x:c r="C34" s="9" t="str">
        <x:v>WC öblítés plate (fali kivitelű)</x:v>
      </x:c>
      <x:c r="D34" s="7" t="str">
        <x:v>db</x:v>
      </x:c>
      <x:c r="E34" s="10"/>
      <x:c r="F34" s="10"/>
      <x:c r="G34" s="10"/>
      <x:c r="H34" s="10"/>
      <x:c r="I34" s="10"/>
      <x:c r="J34" s="10"/>
      <x:c r="K34" s="10"/>
      <x:c r="L34" s="10"/>
      <x:c r="M34" s="11" t="n">
        <x:f aca="0">SUM(E34:L34)</x:f>
        <x:v>0</x:v>
      </x:c>
      <x:c r="N34" s="8"/>
    </x:row>
    <x:row r="35" ht="15" hidden="0">
      <x:c r="A35" s="7" t="s">
        <x:v>30</x:v>
      </x:c>
      <x:c r="B35" s="8"/>
      <x:c r="C35" s="9" t="s">
        <x:v>31</x:v>
      </x:c>
      <x:c r="D35" s="7" t="str">
        <x:v>db</x:v>
      </x:c>
      <x:c r="E35" s="10"/>
      <x:c r="F35" s="10"/>
      <x:c r="G35" s="10"/>
      <x:c r="H35" s="10"/>
      <x:c r="I35" s="10"/>
      <x:c r="J35" s="10"/>
      <x:c r="K35" s="10"/>
      <x:c r="L35" s="10"/>
      <x:c r="M35" s="11" t="n">
        <x:f aca="0">SUM(E35:L35)</x:f>
        <x:v>0</x:v>
      </x:c>
      <x:c r="N35" s="8"/>
    </x:row>
    <x:row r="36" ht="15" hidden="0">
      <x:c r="A36" s="7" t="s">
        <x:v>32</x:v>
      </x:c>
      <x:c r="B36" s="8"/>
      <x:c r="C36" s="9" t="str">
        <x:v>piszoár öblítés szelep / érzékelő</x:v>
      </x:c>
      <x:c r="D36" s="7" t="str">
        <x:v>db</x:v>
      </x:c>
      <x:c r="E36" s="10"/>
      <x:c r="F36" s="10"/>
      <x:c r="G36" s="10"/>
      <x:c r="H36" s="10"/>
      <x:c r="I36" s="10"/>
      <x:c r="J36" s="10"/>
      <x:c r="K36" s="10"/>
      <x:c r="L36" s="10"/>
      <x:c r="M36" s="11" t="n">
        <x:f aca="0">SUM(E36:L36)</x:f>
        <x:v>0</x:v>
      </x:c>
      <x:c r="N36" s="8"/>
    </x:row>
    <x:row r="37" ht="15" hidden="0">
      <x:c r="A37" s="7" t="s">
        <x:v>33</x:v>
      </x:c>
      <x:c r="B37" s="8"/>
      <x:c r="C37" s="9" t="s">
        <x:v>34</x:v>
      </x:c>
      <x:c r="D37" s="7" t="str">
        <x:v>db</x:v>
      </x:c>
      <x:c r="E37" s="10"/>
      <x:c r="F37" s="10"/>
      <x:c r="G37" s="10"/>
      <x:c r="H37" s="10"/>
      <x:c r="I37" s="10"/>
      <x:c r="J37" s="10"/>
      <x:c r="K37" s="10"/>
      <x:c r="L37" s="10"/>
      <x:c r="M37" s="11" t="n">
        <x:f aca="0">SUM(E37:L37)</x:f>
        <x:v>0</x:v>
      </x:c>
      <x:c r="N37" s="8"/>
    </x:row>
    <x:row r="38" ht="15" hidden="0">
      <x:c r="A38" s="7" t="s">
        <x:v>35</x:v>
      </x:c>
      <x:c r="B38" s="8"/>
      <x:c r="C38" s="9" t="s">
        <x:v>36</x:v>
      </x:c>
      <x:c r="D38" s="7" t="str">
        <x:v>db</x:v>
      </x:c>
      <x:c r="E38" s="10"/>
      <x:c r="F38" s="10"/>
      <x:c r="G38" s="10"/>
      <x:c r="H38" s="10"/>
      <x:c r="I38" s="10"/>
      <x:c r="J38" s="10"/>
      <x:c r="K38" s="10"/>
      <x:c r="L38" s="10"/>
      <x:c r="M38" s="11" t="n">
        <x:f aca="0">SUM(E38:L38)</x:f>
        <x:v>0</x:v>
      </x:c>
      <x:c r="N38" s="8"/>
    </x:row>
    <x:row r="39" ht="15" hidden="0">
      <x:c r="A39" s="7" t="s">
        <x:v>37</x:v>
      </x:c>
      <x:c r="B39" s="8"/>
      <x:c r="C39" s="9" t="str">
        <x:v>TMV - thermostatic mixing szelep</x:v>
      </x:c>
      <x:c r="D39" s="7" t="str">
        <x:v>db</x:v>
      </x:c>
      <x:c r="E39" s="10"/>
      <x:c r="F39" s="10"/>
      <x:c r="G39" s="10"/>
      <x:c r="H39" s="10"/>
      <x:c r="I39" s="10"/>
      <x:c r="J39" s="10"/>
      <x:c r="K39" s="10"/>
      <x:c r="L39" s="10"/>
      <x:c r="M39" s="11" t="n">
        <x:f aca="0">SUM(E39:L39)</x:f>
        <x:v>0</x:v>
      </x:c>
      <x:c r="N39" s="8"/>
    </x:row>
    <x:row r="40" ht="15" hidden="0">
      <x:c r="A40" s="7" t="s">
        <x:v>38</x:v>
      </x:c>
      <x:c r="B40" s="8"/>
      <x:c r="C40" s="9" t="str">
        <x:v>PRV - pressure reducing szelep</x:v>
      </x:c>
      <x:c r="D40" s="7" t="str">
        <x:v>db</x:v>
      </x:c>
      <x:c r="E40" s="10"/>
      <x:c r="F40" s="10"/>
      <x:c r="G40" s="10"/>
      <x:c r="H40" s="10"/>
      <x:c r="I40" s="10"/>
      <x:c r="J40" s="10"/>
      <x:c r="K40" s="10"/>
      <x:c r="L40" s="10"/>
      <x:c r="M40" s="11" t="n">
        <x:f aca="0">SUM(E40:L40)</x:f>
        <x:v>0</x:v>
      </x:c>
      <x:c r="N40" s="8"/>
    </x:row>
    <x:row r="41" ht="19.5" hidden="0" customHeight="1">
      <x:c r="A41" s="5"/>
      <x:c r="B41" s="6" t="str">
        <x:v>HIDEGVÍZ CSŐHÁLÓZAT</x:v>
      </x:c>
      <x:c r="C41" s="6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</x:row>
    <x:row r="42" ht="15" hidden="0">
      <x:c r="A42" s="7" t="s">
        <x:v>39</x:v>
      </x:c>
      <x:c r="B42" s="8"/>
      <x:c r="C42" s="9" t="str">
        <x:v>réz cső - DN15</x:v>
      </x:c>
      <x:c r="D42" s="7" t="str">
        <x:v>fm</x:v>
      </x:c>
      <x:c r="E42" s="10"/>
      <x:c r="F42" s="10"/>
      <x:c r="G42" s="10"/>
      <x:c r="H42" s="10"/>
      <x:c r="I42" s="10"/>
      <x:c r="J42" s="10"/>
      <x:c r="K42" s="10"/>
      <x:c r="L42" s="10"/>
      <x:c r="M42" s="11" t="n">
        <x:f aca="0">SUM(E42:L42)</x:f>
        <x:v>0</x:v>
      </x:c>
      <x:c r="N42" s="8"/>
    </x:row>
    <x:row r="43" ht="15" hidden="0">
      <x:c r="A43" s="7" t="s">
        <x:v>40</x:v>
      </x:c>
      <x:c r="B43" s="8"/>
      <x:c r="C43" s="9" t="str">
        <x:v>réz cső - DN20</x:v>
      </x:c>
      <x:c r="D43" s="7" t="str">
        <x:v>fm</x:v>
      </x:c>
      <x:c r="E43" s="10"/>
      <x:c r="F43" s="10"/>
      <x:c r="G43" s="10"/>
      <x:c r="H43" s="10"/>
      <x:c r="I43" s="10"/>
      <x:c r="J43" s="10"/>
      <x:c r="K43" s="10"/>
      <x:c r="L43" s="10"/>
      <x:c r="M43" s="11" t="n">
        <x:f aca="0">SUM(E43:L43)</x:f>
        <x:v>0</x:v>
      </x:c>
      <x:c r="N43" s="8"/>
    </x:row>
    <x:row r="44" ht="15" hidden="0">
      <x:c r="A44" s="7" t="s">
        <x:v>41</x:v>
      </x:c>
      <x:c r="B44" s="8"/>
      <x:c r="C44" s="9" t="str">
        <x:v>réz cső - DN25</x:v>
      </x:c>
      <x:c r="D44" s="7" t="str">
        <x:v>fm</x:v>
      </x:c>
      <x:c r="E44" s="10"/>
      <x:c r="F44" s="10"/>
      <x:c r="G44" s="10"/>
      <x:c r="H44" s="10"/>
      <x:c r="I44" s="10"/>
      <x:c r="J44" s="10"/>
      <x:c r="K44" s="10"/>
      <x:c r="L44" s="10"/>
      <x:c r="M44" s="11" t="n">
        <x:f aca="0">SUM(E44:L44)</x:f>
        <x:v>0</x:v>
      </x:c>
      <x:c r="N44" s="8"/>
    </x:row>
    <x:row r="45" ht="15" hidden="0">
      <x:c r="A45" s="7" t="s">
        <x:v>42</x:v>
      </x:c>
      <x:c r="B45" s="8"/>
      <x:c r="C45" s="9" t="str">
        <x:v>réz cső - DN32</x:v>
      </x:c>
      <x:c r="D45" s="7" t="str">
        <x:v>fm</x:v>
      </x:c>
      <x:c r="E45" s="10"/>
      <x:c r="F45" s="10"/>
      <x:c r="G45" s="10"/>
      <x:c r="H45" s="10"/>
      <x:c r="I45" s="10"/>
      <x:c r="J45" s="10"/>
      <x:c r="K45" s="10"/>
      <x:c r="L45" s="10"/>
      <x:c r="M45" s="11" t="n">
        <x:f aca="0">SUM(E45:L45)</x:f>
        <x:v>0</x:v>
      </x:c>
      <x:c r="N45" s="8"/>
    </x:row>
    <x:row r="46" ht="15" hidden="0">
      <x:c r="A46" s="7" t="s">
        <x:v>43</x:v>
      </x:c>
      <x:c r="B46" s="8"/>
      <x:c r="C46" s="9" t="str">
        <x:v>réz cső - DN40</x:v>
      </x:c>
      <x:c r="D46" s="7" t="str">
        <x:v>fm</x:v>
      </x:c>
      <x:c r="E46" s="10"/>
      <x:c r="F46" s="10"/>
      <x:c r="G46" s="10"/>
      <x:c r="H46" s="10"/>
      <x:c r="I46" s="10"/>
      <x:c r="J46" s="10"/>
      <x:c r="K46" s="10"/>
      <x:c r="L46" s="10"/>
      <x:c r="M46" s="11" t="n">
        <x:f aca="0">SUM(E46:L46)</x:f>
        <x:v>0</x:v>
      </x:c>
      <x:c r="N46" s="8"/>
    </x:row>
    <x:row r="47" ht="15" hidden="0">
      <x:c r="A47" s="7" t="s">
        <x:v>44</x:v>
      </x:c>
      <x:c r="B47" s="8"/>
      <x:c r="C47" s="9" t="str">
        <x:v>réz cső - DN50</x:v>
      </x:c>
      <x:c r="D47" s="7" t="str">
        <x:v>fm</x:v>
      </x:c>
      <x:c r="E47" s="10"/>
      <x:c r="F47" s="10"/>
      <x:c r="G47" s="10"/>
      <x:c r="H47" s="10"/>
      <x:c r="I47" s="10"/>
      <x:c r="J47" s="10"/>
      <x:c r="K47" s="10"/>
      <x:c r="L47" s="10"/>
      <x:c r="M47" s="11" t="n">
        <x:f aca="0">SUM(E47:L47)</x:f>
        <x:v>0</x:v>
      </x:c>
      <x:c r="N47" s="8"/>
    </x:row>
    <x:row r="48" ht="15" hidden="0">
      <x:c r="A48" s="7" t="s">
        <x:v>45</x:v>
      </x:c>
      <x:c r="B48" s="8"/>
      <x:c r="C48" s="9" t="str">
        <x:v>PPR cső - DN20</x:v>
      </x:c>
      <x:c r="D48" s="7" t="str">
        <x:v>fm</x:v>
      </x:c>
      <x:c r="E48" s="10"/>
      <x:c r="F48" s="10"/>
      <x:c r="G48" s="10"/>
      <x:c r="H48" s="10"/>
      <x:c r="I48" s="10"/>
      <x:c r="J48" s="10"/>
      <x:c r="K48" s="10"/>
      <x:c r="L48" s="10"/>
      <x:c r="M48" s="11" t="n">
        <x:f aca="0">SUM(E48:L48)</x:f>
        <x:v>0</x:v>
      </x:c>
      <x:c r="N48" s="8"/>
    </x:row>
    <x:row r="49" ht="15" hidden="0">
      <x:c r="A49" s="7" t="s">
        <x:v>46</x:v>
      </x:c>
      <x:c r="B49" s="8"/>
      <x:c r="C49" s="9" t="str">
        <x:v>PPR cső - DN25</x:v>
      </x:c>
      <x:c r="D49" s="7" t="str">
        <x:v>fm</x:v>
      </x:c>
      <x:c r="E49" s="10"/>
      <x:c r="F49" s="10"/>
      <x:c r="G49" s="10"/>
      <x:c r="H49" s="10"/>
      <x:c r="I49" s="10"/>
      <x:c r="J49" s="10"/>
      <x:c r="K49" s="10"/>
      <x:c r="L49" s="10"/>
      <x:c r="M49" s="11" t="n">
        <x:f aca="0">SUM(E49:L49)</x:f>
        <x:v>0</x:v>
      </x:c>
      <x:c r="N49" s="8"/>
    </x:row>
    <x:row r="50" ht="15" hidden="0">
      <x:c r="A50" s="7" t="s">
        <x:v>47</x:v>
      </x:c>
      <x:c r="B50" s="8"/>
      <x:c r="C50" s="9" t="str">
        <x:v>PPR cső - DN32</x:v>
      </x:c>
      <x:c r="D50" s="7" t="str">
        <x:v>fm</x:v>
      </x:c>
      <x:c r="E50" s="10"/>
      <x:c r="F50" s="10"/>
      <x:c r="G50" s="10"/>
      <x:c r="H50" s="10"/>
      <x:c r="I50" s="10"/>
      <x:c r="J50" s="10"/>
      <x:c r="K50" s="10"/>
      <x:c r="L50" s="10"/>
      <x:c r="M50" s="11" t="n">
        <x:f aca="0">SUM(E50:L50)</x:f>
        <x:v>0</x:v>
      </x:c>
      <x:c r="N50" s="8"/>
    </x:row>
    <x:row r="51" ht="15" hidden="0">
      <x:c r="A51" s="7" t="s">
        <x:v>48</x:v>
      </x:c>
      <x:c r="B51" s="8"/>
      <x:c r="C51" s="9" t="str">
        <x:v>PEX cső (in védőcső) - DN16</x:v>
      </x:c>
      <x:c r="D51" s="7" t="str">
        <x:v>fm</x:v>
      </x:c>
      <x:c r="E51" s="10"/>
      <x:c r="F51" s="10"/>
      <x:c r="G51" s="10"/>
      <x:c r="H51" s="10"/>
      <x:c r="I51" s="10"/>
      <x:c r="J51" s="10"/>
      <x:c r="K51" s="10"/>
      <x:c r="L51" s="10"/>
      <x:c r="M51" s="11" t="n">
        <x:f aca="0">SUM(E51:L51)</x:f>
        <x:v>0</x:v>
      </x:c>
      <x:c r="N51" s="8"/>
    </x:row>
    <x:row r="52" ht="15" hidden="0">
      <x:c r="A52" s="7" t="s">
        <x:v>49</x:v>
      </x:c>
      <x:c r="B52" s="8"/>
      <x:c r="C52" s="9" t="str">
        <x:v>PEX cső (in védőcső) - DN20</x:v>
      </x:c>
      <x:c r="D52" s="7" t="str">
        <x:v>fm</x:v>
      </x:c>
      <x:c r="E52" s="10"/>
      <x:c r="F52" s="10"/>
      <x:c r="G52" s="10"/>
      <x:c r="H52" s="10"/>
      <x:c r="I52" s="10"/>
      <x:c r="J52" s="10"/>
      <x:c r="K52" s="10"/>
      <x:c r="L52" s="10"/>
      <x:c r="M52" s="11" t="n">
        <x:f aca="0">SUM(E52:L52)</x:f>
        <x:v>0</x:v>
      </x:c>
      <x:c r="N52" s="8"/>
    </x:row>
    <x:row r="53" ht="15" hidden="0">
      <x:c r="A53" s="7" t="s">
        <x:v>50</x:v>
      </x:c>
      <x:c r="B53" s="8"/>
      <x:c r="C53" s="9" t="str">
        <x:v>PEX manifold (négyirányú / 6-way)</x:v>
      </x:c>
      <x:c r="D53" s="7" t="str">
        <x:v>db</x:v>
      </x:c>
      <x:c r="E53" s="10"/>
      <x:c r="F53" s="10"/>
      <x:c r="G53" s="10"/>
      <x:c r="H53" s="10"/>
      <x:c r="I53" s="10"/>
      <x:c r="J53" s="10"/>
      <x:c r="K53" s="10"/>
      <x:c r="L53" s="10"/>
      <x:c r="M53" s="11" t="n">
        <x:f aca="0">SUM(E53:L53)</x:f>
        <x:v>0</x:v>
      </x:c>
      <x:c r="N53" s="8"/>
    </x:row>
    <x:row r="54" ht="15" hidden="0">
      <x:c r="A54" s="7" t="s">
        <x:v>51</x:v>
      </x:c>
      <x:c r="B54" s="8"/>
      <x:c r="C54" s="9" t="str">
        <x:v>Stainless acél cső (DN: ___)</x:v>
      </x:c>
      <x:c r="D54" s="7" t="str">
        <x:v>fm</x:v>
      </x:c>
      <x:c r="E54" s="10"/>
      <x:c r="F54" s="10"/>
      <x:c r="G54" s="10"/>
      <x:c r="H54" s="10"/>
      <x:c r="I54" s="10"/>
      <x:c r="J54" s="10"/>
      <x:c r="K54" s="10"/>
      <x:c r="L54" s="10"/>
      <x:c r="M54" s="11" t="n">
        <x:f aca="0">SUM(E54:L54)</x:f>
        <x:v>0</x:v>
      </x:c>
      <x:c r="N54" s="8"/>
    </x:row>
    <x:row r="55" ht="15" hidden="0">
      <x:c r="A55" s="7" t="s">
        <x:v>52</x:v>
      </x:c>
      <x:c r="B55" s="8"/>
      <x:c r="C55" s="9" t="str">
        <x:v>cső idomok (könyök idomok/T-idomok/szűkítők)</x:v>
      </x:c>
      <x:c r="D55" s="7" t="str">
        <x:v>db</x:v>
      </x:c>
      <x:c r="E55" s="10"/>
      <x:c r="F55" s="10"/>
      <x:c r="G55" s="10"/>
      <x:c r="H55" s="10"/>
      <x:c r="I55" s="10"/>
      <x:c r="J55" s="10"/>
      <x:c r="K55" s="10"/>
      <x:c r="L55" s="10"/>
      <x:c r="M55" s="11" t="n">
        <x:f aca="0">SUM(E55:L55)</x:f>
        <x:v>0</x:v>
      </x:c>
      <x:c r="N55" s="8"/>
    </x:row>
    <x:row r="56" ht="15" hidden="0">
      <x:c r="A56" s="7" t="s">
        <x:v>53</x:v>
      </x:c>
      <x:c r="B56" s="8"/>
      <x:c r="C56" s="9" t="str">
        <x:v>elzáró szelep - ball</x:v>
      </x:c>
      <x:c r="D56" s="7" t="str">
        <x:v>db</x:v>
      </x:c>
      <x:c r="E56" s="10"/>
      <x:c r="F56" s="10"/>
      <x:c r="G56" s="10"/>
      <x:c r="H56" s="10"/>
      <x:c r="I56" s="10"/>
      <x:c r="J56" s="10"/>
      <x:c r="K56" s="10"/>
      <x:c r="L56" s="10"/>
      <x:c r="M56" s="11" t="n">
        <x:f aca="0">SUM(E56:L56)</x:f>
        <x:v>0</x:v>
      </x:c>
      <x:c r="N56" s="8"/>
    </x:row>
    <x:row r="57" ht="15" hidden="0">
      <x:c r="A57" s="7" t="s">
        <x:v>54</x:v>
      </x:c>
      <x:c r="B57" s="8"/>
      <x:c r="C57" s="9" t="s">
        <x:v>55</x:v>
      </x:c>
      <x:c r="D57" s="7" t="str">
        <x:v>db</x:v>
      </x:c>
      <x:c r="E57" s="10"/>
      <x:c r="F57" s="10"/>
      <x:c r="G57" s="10"/>
      <x:c r="H57" s="10"/>
      <x:c r="I57" s="10"/>
      <x:c r="J57" s="10"/>
      <x:c r="K57" s="10"/>
      <x:c r="L57" s="10"/>
      <x:c r="M57" s="11" t="n">
        <x:f aca="0">SUM(E57:L57)</x:f>
        <x:v>0</x:v>
      </x:c>
      <x:c r="N57" s="8"/>
    </x:row>
    <x:row r="58" ht="15" hidden="0">
      <x:c r="A58" s="7" t="s">
        <x:v>56</x:v>
      </x:c>
      <x:c r="B58" s="8"/>
      <x:c r="C58" s="9" t="str">
        <x:v>víz meter (sub-meter)</x:v>
      </x:c>
      <x:c r="D58" s="7" t="str">
        <x:v>db</x:v>
      </x:c>
      <x:c r="E58" s="10"/>
      <x:c r="F58" s="10"/>
      <x:c r="G58" s="10"/>
      <x:c r="H58" s="10"/>
      <x:c r="I58" s="10"/>
      <x:c r="J58" s="10"/>
      <x:c r="K58" s="10"/>
      <x:c r="L58" s="10"/>
      <x:c r="M58" s="11" t="n">
        <x:f aca="0">SUM(E58:L58)</x:f>
        <x:v>0</x:v>
      </x:c>
      <x:c r="N58" s="8"/>
    </x:row>
    <x:row r="59" ht="15" hidden="0">
      <x:c r="A59" s="7" t="s">
        <x:v>57</x:v>
      </x:c>
      <x:c r="B59" s="8"/>
      <x:c r="C59" s="9" t="str">
        <x:v>cső szigetelés (lagging)</x:v>
      </x:c>
      <x:c r="D59" s="7" t="str">
        <x:v>fm</x:v>
      </x:c>
      <x:c r="E59" s="10"/>
      <x:c r="F59" s="10"/>
      <x:c r="G59" s="10"/>
      <x:c r="H59" s="10"/>
      <x:c r="I59" s="10"/>
      <x:c r="J59" s="10"/>
      <x:c r="K59" s="10"/>
      <x:c r="L59" s="10"/>
      <x:c r="M59" s="11" t="n">
        <x:f aca="0">SUM(E59:L59)</x:f>
        <x:v>0</x:v>
      </x:c>
      <x:c r="N59" s="8"/>
    </x:row>
    <x:row r="60" ht="19.5" hidden="0" customHeight="1">
      <x:c r="A60" s="5"/>
      <x:c r="B60" s="6" t="str">
        <x:v>HASZNÁLATI MELEGVÍZ RENDSZER</x:v>
      </x:c>
      <x:c r="C60" s="6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</x:row>
    <x:row r="61" ht="15" hidden="0">
      <x:c r="A61" s="7" t="s">
        <x:v>58</x:v>
      </x:c>
      <x:c r="B61" s="8"/>
      <x:c r="C61" s="9" t="str">
        <x:v>melegvíz unit - elektromos raktár (méret: ___)</x:v>
      </x:c>
      <x:c r="D61" s="7" t="str">
        <x:v>db</x:v>
      </x:c>
      <x:c r="E61" s="10"/>
      <x:c r="F61" s="10"/>
      <x:c r="G61" s="10"/>
      <x:c r="H61" s="10"/>
      <x:c r="I61" s="10"/>
      <x:c r="J61" s="10"/>
      <x:c r="K61" s="10"/>
      <x:c r="L61" s="10"/>
      <x:c r="M61" s="11" t="n">
        <x:f aca="0">SUM(E61:L61)</x:f>
        <x:v>0</x:v>
      </x:c>
      <x:c r="N61" s="8"/>
    </x:row>
    <x:row r="62" ht="15" hidden="0">
      <x:c r="A62" s="7" t="s">
        <x:v>59</x:v>
      </x:c>
      <x:c r="B62" s="8"/>
      <x:c r="C62" s="9" t="str">
        <x:v>melegvíz unit - gas raktár (méret: ___)</x:v>
      </x:c>
      <x:c r="D62" s="7" t="str">
        <x:v>db</x:v>
      </x:c>
      <x:c r="E62" s="10"/>
      <x:c r="F62" s="10"/>
      <x:c r="G62" s="10"/>
      <x:c r="H62" s="10"/>
      <x:c r="I62" s="10"/>
      <x:c r="J62" s="10"/>
      <x:c r="K62" s="10"/>
      <x:c r="L62" s="10"/>
      <x:c r="M62" s="11" t="n">
        <x:f aca="0">SUM(E62:L62)</x:f>
        <x:v>0</x:v>
      </x:c>
      <x:c r="N62" s="8"/>
    </x:row>
    <x:row r="63" ht="15" hidden="0">
      <x:c r="A63" s="7" t="s">
        <x:v>60</x:v>
      </x:c>
      <x:c r="B63" s="8"/>
      <x:c r="C63" s="9" t="str">
        <x:v>melegvíz unit - gas folyamatos flow</x:v>
      </x:c>
      <x:c r="D63" s="7" t="str">
        <x:v>db</x:v>
      </x:c>
      <x:c r="E63" s="10"/>
      <x:c r="F63" s="10"/>
      <x:c r="G63" s="10"/>
      <x:c r="H63" s="10"/>
      <x:c r="I63" s="10"/>
      <x:c r="J63" s="10"/>
      <x:c r="K63" s="10"/>
      <x:c r="L63" s="10"/>
      <x:c r="M63" s="11" t="n">
        <x:f aca="0">SUM(E63:L63)</x:f>
        <x:v>0</x:v>
      </x:c>
      <x:c r="N63" s="8"/>
    </x:row>
    <x:row r="64" ht="15" hidden="0">
      <x:c r="A64" s="7" t="s">
        <x:v>61</x:v>
      </x:c>
      <x:c r="B64" s="8"/>
      <x:c r="C64" s="9" t="str">
        <x:v>melegvíz unit - hőszivattyú</x:v>
      </x:c>
      <x:c r="D64" s="7" t="str">
        <x:v>db</x:v>
      </x:c>
      <x:c r="E64" s="10"/>
      <x:c r="F64" s="10"/>
      <x:c r="G64" s="10"/>
      <x:c r="H64" s="10"/>
      <x:c r="I64" s="10"/>
      <x:c r="J64" s="10"/>
      <x:c r="K64" s="10"/>
      <x:c r="L64" s="10"/>
      <x:c r="M64" s="11" t="n">
        <x:f aca="0">SUM(E64:L64)</x:f>
        <x:v>0</x:v>
      </x:c>
      <x:c r="N64" s="8"/>
    </x:row>
    <x:row r="65" ht="15" hidden="0">
      <x:c r="A65" s="7" t="s">
        <x:v>62</x:v>
      </x:c>
      <x:c r="B65" s="8"/>
      <x:c r="C65" s="9" t="str">
        <x:v>melegvíz unit - solar + raktár</x:v>
      </x:c>
      <x:c r="D65" s="7" t="str">
        <x:v>db</x:v>
      </x:c>
      <x:c r="E65" s="10"/>
      <x:c r="F65" s="10"/>
      <x:c r="G65" s="10"/>
      <x:c r="H65" s="10"/>
      <x:c r="I65" s="10"/>
      <x:c r="J65" s="10"/>
      <x:c r="K65" s="10"/>
      <x:c r="L65" s="10"/>
      <x:c r="M65" s="11" t="n">
        <x:f aca="0">SUM(E65:L65)</x:f>
        <x:v>0</x:v>
      </x:c>
      <x:c r="N65" s="8"/>
    </x:row>
    <x:row r="66" ht="15" hidden="0">
      <x:c r="A66" s="7" t="s">
        <x:v>63</x:v>
      </x:c>
      <x:c r="B66" s="8"/>
      <x:c r="C66" s="9" t="str">
        <x:v>Calorifier / raktár tank (méret: ___)</x:v>
      </x:c>
      <x:c r="D66" s="7" t="str">
        <x:v>db</x:v>
      </x:c>
      <x:c r="E66" s="10"/>
      <x:c r="F66" s="10"/>
      <x:c r="G66" s="10"/>
      <x:c r="H66" s="10"/>
      <x:c r="I66" s="10"/>
      <x:c r="J66" s="10"/>
      <x:c r="K66" s="10"/>
      <x:c r="L66" s="10"/>
      <x:c r="M66" s="11" t="n">
        <x:f aca="0">SUM(E66:L66)</x:f>
        <x:v>0</x:v>
      </x:c>
      <x:c r="N66" s="8"/>
    </x:row>
    <x:row r="67" ht="15" hidden="0">
      <x:c r="A67" s="7" t="s">
        <x:v>64</x:v>
      </x:c>
      <x:c r="B67" s="8"/>
      <x:c r="C67" s="9" t="str">
        <x:v>Circulation szivattyú (melegvíz elszívás / visszatérő)</x:v>
      </x:c>
      <x:c r="D67" s="7" t="str">
        <x:v>db</x:v>
      </x:c>
      <x:c r="E67" s="10"/>
      <x:c r="F67" s="10"/>
      <x:c r="G67" s="10"/>
      <x:c r="H67" s="10"/>
      <x:c r="I67" s="10"/>
      <x:c r="J67" s="10"/>
      <x:c r="K67" s="10"/>
      <x:c r="L67" s="10"/>
      <x:c r="M67" s="11" t="n">
        <x:f aca="0">SUM(E67:L67)</x:f>
        <x:v>0</x:v>
      </x:c>
      <x:c r="N67" s="8"/>
    </x:row>
    <x:row r="68" ht="15" hidden="0">
      <x:c r="A68" s="7" t="s">
        <x:v>65</x:v>
      </x:c>
      <x:c r="B68" s="8"/>
      <x:c r="C68" s="9" t="str">
        <x:v>Expansion szabályozószelep</x:v>
      </x:c>
      <x:c r="D68" s="7" t="str">
        <x:v>db</x:v>
      </x:c>
      <x:c r="E68" s="10"/>
      <x:c r="F68" s="10"/>
      <x:c r="G68" s="10"/>
      <x:c r="H68" s="10"/>
      <x:c r="I68" s="10"/>
      <x:c r="J68" s="10"/>
      <x:c r="K68" s="10"/>
      <x:c r="L68" s="10"/>
      <x:c r="M68" s="11" t="n">
        <x:f aca="0">SUM(E68:L68)</x:f>
        <x:v>0</x:v>
      </x:c>
      <x:c r="N68" s="8"/>
    </x:row>
    <x:row r="69" ht="15" hidden="0">
      <x:c r="A69" s="7" t="s">
        <x:v>66</x:v>
      </x:c>
      <x:c r="B69" s="8"/>
      <x:c r="C69" s="9" t="str">
        <x:v>Tempering szelep / TMV</x:v>
      </x:c>
      <x:c r="D69" s="7" t="str">
        <x:v>db</x:v>
      </x:c>
      <x:c r="E69" s="10"/>
      <x:c r="F69" s="10"/>
      <x:c r="G69" s="10"/>
      <x:c r="H69" s="10"/>
      <x:c r="I69" s="10"/>
      <x:c r="J69" s="10"/>
      <x:c r="K69" s="10"/>
      <x:c r="L69" s="10"/>
      <x:c r="M69" s="11" t="n">
        <x:f aca="0">SUM(E69:L69)</x:f>
        <x:v>0</x:v>
      </x:c>
      <x:c r="N69" s="8"/>
    </x:row>
    <x:row r="70" ht="15" hidden="0">
      <x:c r="A70" s="7" t="s">
        <x:v>67</x:v>
      </x:c>
      <x:c r="B70" s="8"/>
      <x:c r="C70" s="9" t="str">
        <x:v>melegvíz cső - réz (DN: ___)</x:v>
      </x:c>
      <x:c r="D70" s="7" t="str">
        <x:v>fm</x:v>
      </x:c>
      <x:c r="E70" s="10"/>
      <x:c r="F70" s="10"/>
      <x:c r="G70" s="10"/>
      <x:c r="H70" s="10"/>
      <x:c r="I70" s="10"/>
      <x:c r="J70" s="10"/>
      <x:c r="K70" s="10"/>
      <x:c r="L70" s="10"/>
      <x:c r="M70" s="11" t="n">
        <x:f aca="0">SUM(E70:L70)</x:f>
        <x:v>0</x:v>
      </x:c>
      <x:c r="N70" s="8"/>
    </x:row>
    <x:row r="71" ht="15" hidden="0">
      <x:c r="A71" s="7" t="s">
        <x:v>68</x:v>
      </x:c>
      <x:c r="B71" s="8"/>
      <x:c r="C71" s="9" t="str">
        <x:v>melegvíz elszívás / visszatérő cső - réz</x:v>
      </x:c>
      <x:c r="D71" s="7" t="str">
        <x:v>fm</x:v>
      </x:c>
      <x:c r="E71" s="10"/>
      <x:c r="F71" s="10"/>
      <x:c r="G71" s="10"/>
      <x:c r="H71" s="10"/>
      <x:c r="I71" s="10"/>
      <x:c r="J71" s="10"/>
      <x:c r="K71" s="10"/>
      <x:c r="L71" s="10"/>
      <x:c r="M71" s="11" t="n">
        <x:f aca="0">SUM(E71:L71)</x:f>
        <x:v>0</x:v>
      </x:c>
      <x:c r="N71" s="8"/>
    </x:row>
    <x:row r="72" ht="15" hidden="0">
      <x:c r="A72" s="7" t="s">
        <x:v>69</x:v>
      </x:c>
      <x:c r="B72" s="8"/>
      <x:c r="C72" s="9" t="str">
        <x:v>cső szigetelés - melegvíz (lagging)</x:v>
      </x:c>
      <x:c r="D72" s="7" t="str">
        <x:v>fm</x:v>
      </x:c>
      <x:c r="E72" s="10"/>
      <x:c r="F72" s="10"/>
      <x:c r="G72" s="10"/>
      <x:c r="H72" s="10"/>
      <x:c r="I72" s="10"/>
      <x:c r="J72" s="10"/>
      <x:c r="K72" s="10"/>
      <x:c r="L72" s="10"/>
      <x:c r="M72" s="11" t="n">
        <x:f aca="0">SUM(E72:L72)</x:f>
        <x:v>0</x:v>
      </x:c>
      <x:c r="N72" s="8"/>
    </x:row>
    <x:row r="73" ht="19.5" hidden="0" customHeight="1">
      <x:c r="A73" s="5"/>
      <x:c r="B73" s="6" t="str">
        <x:v>SZENNYVÍZELVEZETÉS</x:v>
      </x:c>
      <x:c r="C73" s="6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</x:row>
    <x:row r="74" ht="15" hidden="0">
      <x:c r="A74" s="7" t="s">
        <x:v>70</x:v>
      </x:c>
      <x:c r="B74" s="8"/>
      <x:c r="C74" s="9" t="str">
        <x:v>Above-ground PVC vízelvezetés - DN50</x:v>
      </x:c>
      <x:c r="D74" s="7" t="str">
        <x:v>fm</x:v>
      </x:c>
      <x:c r="E74" s="10"/>
      <x:c r="F74" s="10"/>
      <x:c r="G74" s="10"/>
      <x:c r="H74" s="10"/>
      <x:c r="I74" s="10"/>
      <x:c r="J74" s="10"/>
      <x:c r="K74" s="10"/>
      <x:c r="L74" s="10"/>
      <x:c r="M74" s="11" t="n">
        <x:f aca="0">SUM(E74:L74)</x:f>
        <x:v>0</x:v>
      </x:c>
      <x:c r="N74" s="8"/>
    </x:row>
    <x:row r="75" ht="15" hidden="0">
      <x:c r="A75" s="7" t="s">
        <x:v>71</x:v>
      </x:c>
      <x:c r="B75" s="8"/>
      <x:c r="C75" s="9" t="str">
        <x:v>Above-ground PVC vízelvezetés - DN65</x:v>
      </x:c>
      <x:c r="D75" s="7" t="str">
        <x:v>fm</x:v>
      </x:c>
      <x:c r="E75" s="10"/>
      <x:c r="F75" s="10"/>
      <x:c r="G75" s="10"/>
      <x:c r="H75" s="10"/>
      <x:c r="I75" s="10"/>
      <x:c r="J75" s="10"/>
      <x:c r="K75" s="10"/>
      <x:c r="L75" s="10"/>
      <x:c r="M75" s="11" t="n">
        <x:f aca="0">SUM(E75:L75)</x:f>
        <x:v>0</x:v>
      </x:c>
      <x:c r="N75" s="8"/>
    </x:row>
    <x:row r="76" ht="15" hidden="0">
      <x:c r="A76" s="7" t="s">
        <x:v>72</x:v>
      </x:c>
      <x:c r="B76" s="8"/>
      <x:c r="C76" s="9" t="str">
        <x:v>Above-ground PVC vízelvezetés - DN80</x:v>
      </x:c>
      <x:c r="D76" s="7" t="str">
        <x:v>fm</x:v>
      </x:c>
      <x:c r="E76" s="10"/>
      <x:c r="F76" s="10"/>
      <x:c r="G76" s="10"/>
      <x:c r="H76" s="10"/>
      <x:c r="I76" s="10"/>
      <x:c r="J76" s="10"/>
      <x:c r="K76" s="10"/>
      <x:c r="L76" s="10"/>
      <x:c r="M76" s="11" t="n">
        <x:f aca="0">SUM(E76:L76)</x:f>
        <x:v>0</x:v>
      </x:c>
      <x:c r="N76" s="8"/>
    </x:row>
    <x:row r="77" ht="15" hidden="0">
      <x:c r="A77" s="7" t="s">
        <x:v>73</x:v>
      </x:c>
      <x:c r="B77" s="8"/>
      <x:c r="C77" s="9" t="str">
        <x:v>Above-ground PVC vízelvezetés - DN100</x:v>
      </x:c>
      <x:c r="D77" s="7" t="str">
        <x:v>fm</x:v>
      </x:c>
      <x:c r="E77" s="10"/>
      <x:c r="F77" s="10"/>
      <x:c r="G77" s="10"/>
      <x:c r="H77" s="10"/>
      <x:c r="I77" s="10"/>
      <x:c r="J77" s="10"/>
      <x:c r="K77" s="10"/>
      <x:c r="L77" s="10"/>
      <x:c r="M77" s="11" t="n">
        <x:f aca="0">SUM(E77:L77)</x:f>
        <x:v>0</x:v>
      </x:c>
      <x:c r="N77" s="8"/>
    </x:row>
    <x:row r="78" ht="15" hidden="0">
      <x:c r="A78" s="7" t="s">
        <x:v>74</x:v>
      </x:c>
      <x:c r="B78" s="8"/>
      <x:c r="C78" s="9" t="str">
        <x:v>Above-ground PVC vízelvezetés - DN150</x:v>
      </x:c>
      <x:c r="D78" s="7" t="str">
        <x:v>fm</x:v>
      </x:c>
      <x:c r="E78" s="10"/>
      <x:c r="F78" s="10"/>
      <x:c r="G78" s="10"/>
      <x:c r="H78" s="10"/>
      <x:c r="I78" s="10"/>
      <x:c r="J78" s="10"/>
      <x:c r="K78" s="10"/>
      <x:c r="L78" s="10"/>
      <x:c r="M78" s="11" t="n">
        <x:f aca="0">SUM(E78:L78)</x:f>
        <x:v>0</x:v>
      </x:c>
      <x:c r="N78" s="8"/>
    </x:row>
    <x:row r="79" ht="15" hidden="0">
      <x:c r="A79" s="7" t="s">
        <x:v>75</x:v>
      </x:c>
      <x:c r="B79" s="8"/>
      <x:c r="C79" s="9" t="str">
        <x:v>Cast iron vízelvezetés - DN100</x:v>
      </x:c>
      <x:c r="D79" s="7" t="str">
        <x:v>fm</x:v>
      </x:c>
      <x:c r="E79" s="10"/>
      <x:c r="F79" s="10"/>
      <x:c r="G79" s="10"/>
      <x:c r="H79" s="10"/>
      <x:c r="I79" s="10"/>
      <x:c r="J79" s="10"/>
      <x:c r="K79" s="10"/>
      <x:c r="L79" s="10"/>
      <x:c r="M79" s="11" t="n">
        <x:f aca="0">SUM(E79:L79)</x:f>
        <x:v>0</x:v>
      </x:c>
      <x:c r="N79" s="8"/>
    </x:row>
    <x:row r="80" ht="15" hidden="0">
      <x:c r="A80" s="7" t="s">
        <x:v>76</x:v>
      </x:c>
      <x:c r="B80" s="8"/>
      <x:c r="C80" s="9" t="str">
        <x:v>Cast iron vízelvezetés - DN150</x:v>
      </x:c>
      <x:c r="D80" s="7" t="str">
        <x:v>fm</x:v>
      </x:c>
      <x:c r="E80" s="10"/>
      <x:c r="F80" s="10"/>
      <x:c r="G80" s="10"/>
      <x:c r="H80" s="10"/>
      <x:c r="I80" s="10"/>
      <x:c r="J80" s="10"/>
      <x:c r="K80" s="10"/>
      <x:c r="L80" s="10"/>
      <x:c r="M80" s="11" t="n">
        <x:f aca="0">SUM(E80:L80)</x:f>
        <x:v>0</x:v>
      </x:c>
      <x:c r="N80" s="8"/>
    </x:row>
    <x:row r="81" ht="15" hidden="0">
      <x:c r="A81" s="7" t="s">
        <x:v>77</x:v>
      </x:c>
      <x:c r="B81" s="8"/>
      <x:c r="C81" s="9" t="str">
        <x:v>HDPE vízelvezetés (welded) - DN100</x:v>
      </x:c>
      <x:c r="D81" s="7" t="str">
        <x:v>fm</x:v>
      </x:c>
      <x:c r="E81" s="10"/>
      <x:c r="F81" s="10"/>
      <x:c r="G81" s="10"/>
      <x:c r="H81" s="10"/>
      <x:c r="I81" s="10"/>
      <x:c r="J81" s="10"/>
      <x:c r="K81" s="10"/>
      <x:c r="L81" s="10"/>
      <x:c r="M81" s="11" t="n">
        <x:f aca="0">SUM(E81:L81)</x:f>
        <x:v>0</x:v>
      </x:c>
      <x:c r="N81" s="8"/>
    </x:row>
    <x:row r="82" ht="15" hidden="0">
      <x:c r="A82" s="7" t="s">
        <x:v>78</x:v>
      </x:c>
      <x:c r="B82" s="8"/>
      <x:c r="C82" s="9" t="str">
        <x:v>Below-ground PVC vízelvezetés - DN100</x:v>
      </x:c>
      <x:c r="D82" s="7" t="str">
        <x:v>fm</x:v>
      </x:c>
      <x:c r="E82" s="10"/>
      <x:c r="F82" s="10"/>
      <x:c r="G82" s="10"/>
      <x:c r="H82" s="10"/>
      <x:c r="I82" s="10"/>
      <x:c r="J82" s="10"/>
      <x:c r="K82" s="10"/>
      <x:c r="L82" s="10"/>
      <x:c r="M82" s="11" t="n">
        <x:f aca="0">SUM(E82:L82)</x:f>
        <x:v>0</x:v>
      </x:c>
      <x:c r="N82" s="8"/>
    </x:row>
    <x:row r="83" ht="15" hidden="0">
      <x:c r="A83" s="7" t="s">
        <x:v>79</x:v>
      </x:c>
      <x:c r="B83" s="8"/>
      <x:c r="C83" s="9" t="str">
        <x:v>Below-ground PVC vízelvezetés - DN150</x:v>
      </x:c>
      <x:c r="D83" s="7" t="str">
        <x:v>fm</x:v>
      </x:c>
      <x:c r="E83" s="10"/>
      <x:c r="F83" s="10"/>
      <x:c r="G83" s="10"/>
      <x:c r="H83" s="10"/>
      <x:c r="I83" s="10"/>
      <x:c r="J83" s="10"/>
      <x:c r="K83" s="10"/>
      <x:c r="L83" s="10"/>
      <x:c r="M83" s="11" t="n">
        <x:f aca="0">SUM(E83:L83)</x:f>
        <x:v>0</x:v>
      </x:c>
      <x:c r="N83" s="8"/>
    </x:row>
    <x:row r="84" ht="15" hidden="0">
      <x:c r="A84" s="7" t="s">
        <x:v>80</x:v>
      </x:c>
      <x:c r="B84" s="8"/>
      <x:c r="C84" s="9" t="str">
        <x:v>Below-ground PVC vízelvezetés - DN225</x:v>
      </x:c>
      <x:c r="D84" s="7" t="str">
        <x:v>fm</x:v>
      </x:c>
      <x:c r="E84" s="10"/>
      <x:c r="F84" s="10"/>
      <x:c r="G84" s="10"/>
      <x:c r="H84" s="10"/>
      <x:c r="I84" s="10"/>
      <x:c r="J84" s="10"/>
      <x:c r="K84" s="10"/>
      <x:c r="L84" s="10"/>
      <x:c r="M84" s="11" t="n">
        <x:f aca="0">SUM(E84:L84)</x:f>
        <x:v>0</x:v>
      </x:c>
      <x:c r="N84" s="8"/>
    </x:row>
    <x:row r="85" ht="15" hidden="0">
      <x:c r="A85" s="7" t="s">
        <x:v>81</x:v>
      </x:c>
      <x:c r="B85" s="8"/>
      <x:c r="C85" s="9" t="str">
        <x:v>vízelvezetés idomok (ív idomok/junctions)</x:v>
      </x:c>
      <x:c r="D85" s="7" t="str">
        <x:v>db</x:v>
      </x:c>
      <x:c r="E85" s="10"/>
      <x:c r="F85" s="10"/>
      <x:c r="G85" s="10"/>
      <x:c r="H85" s="10"/>
      <x:c r="I85" s="10"/>
      <x:c r="J85" s="10"/>
      <x:c r="K85" s="10"/>
      <x:c r="L85" s="10"/>
      <x:c r="M85" s="11" t="n">
        <x:f aca="0">SUM(E85:L85)</x:f>
        <x:v>0</x:v>
      </x:c>
      <x:c r="N85" s="8"/>
    </x:row>
    <x:row r="86" ht="15" hidden="0">
      <x:c r="A86" s="7" t="s">
        <x:v>82</x:v>
      </x:c>
      <x:c r="B86" s="8"/>
      <x:c r="C86" s="9" t="str">
        <x:v>padló waste / padló gully</x:v>
      </x:c>
      <x:c r="D86" s="7" t="str">
        <x:v>db</x:v>
      </x:c>
      <x:c r="E86" s="10"/>
      <x:c r="F86" s="10"/>
      <x:c r="G86" s="10"/>
      <x:c r="H86" s="10"/>
      <x:c r="I86" s="10"/>
      <x:c r="J86" s="10"/>
      <x:c r="K86" s="10"/>
      <x:c r="L86" s="10"/>
      <x:c r="M86" s="11" t="n">
        <x:f aca="0">SUM(E86:L86)</x:f>
        <x:v>0</x:v>
      </x:c>
      <x:c r="N86" s="8"/>
    </x:row>
    <x:row r="87" ht="15" hidden="0">
      <x:c r="A87" s="7" t="s">
        <x:v>83</x:v>
      </x:c>
      <x:c r="B87" s="8"/>
      <x:c r="C87" s="9" t="str">
        <x:v>padló gully trap (FGT)</x:v>
      </x:c>
      <x:c r="D87" s="7" t="str">
        <x:v>db</x:v>
      </x:c>
      <x:c r="E87" s="10"/>
      <x:c r="F87" s="10"/>
      <x:c r="G87" s="10"/>
      <x:c r="H87" s="10"/>
      <x:c r="I87" s="10"/>
      <x:c r="J87" s="10"/>
      <x:c r="K87" s="10"/>
      <x:c r="L87" s="10"/>
      <x:c r="M87" s="11" t="n">
        <x:f aca="0">SUM(E87:L87)</x:f>
        <x:v>0</x:v>
      </x:c>
      <x:c r="N87" s="8"/>
    </x:row>
    <x:row r="88" ht="15" hidden="0">
      <x:c r="A88" s="7" t="s">
        <x:v>84</x:v>
      </x:c>
      <x:c r="B88" s="8"/>
      <x:c r="C88" s="9" t="s">
        <x:v>85</x:v>
      </x:c>
      <x:c r="D88" s="7" t="str">
        <x:v>db</x:v>
      </x:c>
      <x:c r="E88" s="10"/>
      <x:c r="F88" s="10"/>
      <x:c r="G88" s="10"/>
      <x:c r="H88" s="10"/>
      <x:c r="I88" s="10"/>
      <x:c r="J88" s="10"/>
      <x:c r="K88" s="10"/>
      <x:c r="L88" s="10"/>
      <x:c r="M88" s="11" t="n">
        <x:f aca="0">SUM(E88:L88)</x:f>
        <x:v>0</x:v>
      </x:c>
      <x:c r="N88" s="8"/>
    </x:row>
    <x:row r="89" ht="15" hidden="0">
      <x:c r="A89" s="7" t="s">
        <x:v>86</x:v>
      </x:c>
      <x:c r="B89" s="8"/>
      <x:c r="C89" s="9" t="str">
        <x:v>Inspection akna (IP)</x:v>
      </x:c>
      <x:c r="D89" s="7" t="str">
        <x:v>db</x:v>
      </x:c>
      <x:c r="E89" s="10"/>
      <x:c r="F89" s="10"/>
      <x:c r="G89" s="10"/>
      <x:c r="H89" s="10"/>
      <x:c r="I89" s="10"/>
      <x:c r="J89" s="10"/>
      <x:c r="K89" s="10"/>
      <x:c r="L89" s="10"/>
      <x:c r="M89" s="11" t="n">
        <x:f aca="0">SUM(E89:L89)</x:f>
        <x:v>0</x:v>
      </x:c>
      <x:c r="N89" s="8"/>
    </x:row>
    <x:row r="90" ht="15" hidden="0">
      <x:c r="A90" s="7" t="s">
        <x:v>87</x:v>
      </x:c>
      <x:c r="B90" s="8"/>
      <x:c r="C90" s="9" t="str">
        <x:v>Vent cső - PVC (DN: ___)</x:v>
      </x:c>
      <x:c r="D90" s="7" t="str">
        <x:v>fm</x:v>
      </x:c>
      <x:c r="E90" s="10"/>
      <x:c r="F90" s="10"/>
      <x:c r="G90" s="10"/>
      <x:c r="H90" s="10"/>
      <x:c r="I90" s="10"/>
      <x:c r="J90" s="10"/>
      <x:c r="K90" s="10"/>
      <x:c r="L90" s="10"/>
      <x:c r="M90" s="11" t="n">
        <x:f aca="0">SUM(E90:L90)</x:f>
        <x:v>0</x:v>
      </x:c>
      <x:c r="N90" s="8"/>
    </x:row>
    <x:row r="91" ht="15" hidden="0">
      <x:c r="A91" s="7" t="s">
        <x:v>88</x:v>
      </x:c>
      <x:c r="B91" s="8"/>
      <x:c r="C91" s="9" t="str">
        <x:v>Cowl / vent terminal (tető)</x:v>
      </x:c>
      <x:c r="D91" s="7" t="str">
        <x:v>db</x:v>
      </x:c>
      <x:c r="E91" s="10"/>
      <x:c r="F91" s="10"/>
      <x:c r="G91" s="10"/>
      <x:c r="H91" s="10"/>
      <x:c r="I91" s="10"/>
      <x:c r="J91" s="10"/>
      <x:c r="K91" s="10"/>
      <x:c r="L91" s="10"/>
      <x:c r="M91" s="11" t="n">
        <x:f aca="0">SUM(E91:L91)</x:f>
        <x:v>0</x:v>
      </x:c>
      <x:c r="N91" s="8"/>
    </x:row>
    <x:row r="92" ht="15" hidden="0">
      <x:c r="A92" s="7" t="s">
        <x:v>89</x:v>
      </x:c>
      <x:c r="B92" s="8"/>
      <x:c r="C92" s="9" t="str">
        <x:v>Reflux szelep / non-elszívás / visszatérő</x:v>
      </x:c>
      <x:c r="D92" s="7" t="str">
        <x:v>db</x:v>
      </x:c>
      <x:c r="E92" s="10"/>
      <x:c r="F92" s="10"/>
      <x:c r="G92" s="10"/>
      <x:c r="H92" s="10"/>
      <x:c r="I92" s="10"/>
      <x:c r="J92" s="10"/>
      <x:c r="K92" s="10"/>
      <x:c r="L92" s="10"/>
      <x:c r="M92" s="11" t="n">
        <x:f aca="0">SUM(E92:L92)</x:f>
        <x:v>0</x:v>
      </x:c>
      <x:c r="N92" s="8"/>
    </x:row>
    <x:row r="93" ht="15" hidden="0">
      <x:c r="A93" s="7" t="s">
        <x:v>90</x:v>
      </x:c>
      <x:c r="B93" s="8"/>
      <x:c r="C93" s="9" t="s">
        <x:v>91</x:v>
      </x:c>
      <x:c r="D93" s="7" t="str">
        <x:v>db</x:v>
      </x:c>
      <x:c r="E93" s="10"/>
      <x:c r="F93" s="10"/>
      <x:c r="G93" s="10"/>
      <x:c r="H93" s="10"/>
      <x:c r="I93" s="10"/>
      <x:c r="J93" s="10"/>
      <x:c r="K93" s="10"/>
      <x:c r="L93" s="10"/>
      <x:c r="M93" s="11" t="n">
        <x:f aca="0">SUM(E93:L93)</x:f>
        <x:v>0</x:v>
      </x:c>
      <x:c r="N93" s="8"/>
    </x:row>
    <x:row r="94" ht="15" hidden="0">
      <x:c r="A94" s="7" t="s">
        <x:v>92</x:v>
      </x:c>
      <x:c r="B94" s="8"/>
      <x:c r="C94" s="9" t="str">
        <x:v>Sewerage szivattyú station / submersible szivattyú</x:v>
      </x:c>
      <x:c r="D94" s="7" t="str">
        <x:v>db</x:v>
      </x:c>
      <x:c r="E94" s="10"/>
      <x:c r="F94" s="10"/>
      <x:c r="G94" s="10"/>
      <x:c r="H94" s="10"/>
      <x:c r="I94" s="10"/>
      <x:c r="J94" s="10"/>
      <x:c r="K94" s="10"/>
      <x:c r="L94" s="10"/>
      <x:c r="M94" s="11" t="n">
        <x:f aca="0">SUM(E94:L94)</x:f>
        <x:v>0</x:v>
      </x:c>
      <x:c r="N94" s="8"/>
    </x:row>
    <x:row r="95" ht="19.5" hidden="0" customHeight="1">
      <x:c r="A95" s="5"/>
      <x:c r="B95" s="6" t="str">
        <x:v>CSAPADÉKVÍZ-ELVEZETÉS</x:v>
      </x:c>
      <x:c r="C95" s="6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</x:row>
    <x:row r="96" ht="15" hidden="0">
      <x:c r="A96" s="7" t="s">
        <x:v>93</x:v>
      </x:c>
      <x:c r="B96" s="8"/>
      <x:c r="C96" s="9" t="str">
        <x:v>tető outlet / sump</x:v>
      </x:c>
      <x:c r="D96" s="7" t="str">
        <x:v>db</x:v>
      </x:c>
      <x:c r="E96" s="10"/>
      <x:c r="F96" s="10"/>
      <x:c r="G96" s="10"/>
      <x:c r="H96" s="10"/>
      <x:c r="I96" s="10"/>
      <x:c r="J96" s="10"/>
      <x:c r="K96" s="10"/>
      <x:c r="L96" s="10"/>
      <x:c r="M96" s="11" t="n">
        <x:f aca="0">SUM(E96:L96)</x:f>
        <x:v>0</x:v>
      </x:c>
      <x:c r="N96" s="8"/>
    </x:row>
    <x:row r="97" ht="15" hidden="0">
      <x:c r="A97" s="7" t="s">
        <x:v>94</x:v>
      </x:c>
      <x:c r="B97" s="8"/>
      <x:c r="C97" s="9" t="s">
        <x:v>95</x:v>
      </x:c>
      <x:c r="D97" s="7" t="str">
        <x:v>db</x:v>
      </x:c>
      <x:c r="E97" s="10"/>
      <x:c r="F97" s="10"/>
      <x:c r="G97" s="10"/>
      <x:c r="H97" s="10"/>
      <x:c r="I97" s="10"/>
      <x:c r="J97" s="10"/>
      <x:c r="K97" s="10"/>
      <x:c r="L97" s="10"/>
      <x:c r="M97" s="11" t="n">
        <x:f aca="0">SUM(E97:L97)</x:f>
        <x:v>0</x:v>
      </x:c>
      <x:c r="N97" s="8"/>
    </x:row>
    <x:row r="98" ht="15" hidden="0">
      <x:c r="A98" s="7" t="s">
        <x:v>96</x:v>
      </x:c>
      <x:c r="B98" s="8"/>
      <x:c r="C98" s="9" t="s">
        <x:v>97</x:v>
      </x:c>
      <x:c r="D98" s="7" t="str">
        <x:v>fm</x:v>
      </x:c>
      <x:c r="E98" s="10"/>
      <x:c r="F98" s="10"/>
      <x:c r="G98" s="10"/>
      <x:c r="H98" s="10"/>
      <x:c r="I98" s="10"/>
      <x:c r="J98" s="10"/>
      <x:c r="K98" s="10"/>
      <x:c r="L98" s="10"/>
      <x:c r="M98" s="11" t="n">
        <x:f aca="0">SUM(E98:L98)</x:f>
        <x:v>0</x:v>
      </x:c>
      <x:c r="N98" s="8"/>
    </x:row>
    <x:row r="99" ht="15" hidden="0">
      <x:c r="A99" s="7" t="s">
        <x:v>98</x:v>
      </x:c>
      <x:c r="B99" s="8"/>
      <x:c r="C99" s="9" t="str">
        <x:v>Downpipe - horganyzott / colorbond</x:v>
      </x:c>
      <x:c r="D99" s="7" t="str">
        <x:v>fm</x:v>
      </x:c>
      <x:c r="E99" s="10"/>
      <x:c r="F99" s="10"/>
      <x:c r="G99" s="10"/>
      <x:c r="H99" s="10"/>
      <x:c r="I99" s="10"/>
      <x:c r="J99" s="10"/>
      <x:c r="K99" s="10"/>
      <x:c r="L99" s="10"/>
      <x:c r="M99" s="11" t="n">
        <x:f aca="0">SUM(E99:L99)</x:f>
        <x:v>0</x:v>
      </x:c>
      <x:c r="N99" s="8"/>
    </x:row>
    <x:row r="100" ht="15" hidden="0">
      <x:c r="A100" s="7" t="s">
        <x:v>99</x:v>
      </x:c>
      <x:c r="B100" s="8"/>
      <x:c r="C100" s="9" t="s">
        <x:v>100</x:v>
      </x:c>
      <x:c r="D100" s="7" t="str">
        <x:v>fm</x:v>
      </x:c>
      <x:c r="E100" s="10"/>
      <x:c r="F100" s="10"/>
      <x:c r="G100" s="10"/>
      <x:c r="H100" s="10"/>
      <x:c r="I100" s="10"/>
      <x:c r="J100" s="10"/>
      <x:c r="K100" s="10"/>
      <x:c r="L100" s="10"/>
      <x:c r="M100" s="11" t="n">
        <x:f aca="0">SUM(E100:L100)</x:f>
        <x:v>0</x:v>
      </x:c>
      <x:c r="N100" s="8"/>
    </x:row>
    <x:row r="101" ht="15" hidden="0">
      <x:c r="A101" s="7" t="s">
        <x:v>101</x:v>
      </x:c>
      <x:c r="B101" s="8"/>
      <x:c r="C101" s="9" t="s">
        <x:v>102</x:v>
      </x:c>
      <x:c r="D101" s="7" t="str">
        <x:v>fm</x:v>
      </x:c>
      <x:c r="E101" s="10"/>
      <x:c r="F101" s="10"/>
      <x:c r="G101" s="10"/>
      <x:c r="H101" s="10"/>
      <x:c r="I101" s="10"/>
      <x:c r="J101" s="10"/>
      <x:c r="K101" s="10"/>
      <x:c r="L101" s="10"/>
      <x:c r="M101" s="11" t="n">
        <x:f aca="0">SUM(E101:L101)</x:f>
        <x:v>0</x:v>
      </x:c>
      <x:c r="N101" s="8"/>
    </x:row>
    <x:row r="102" ht="15" hidden="0">
      <x:c r="A102" s="7" t="s">
        <x:v>103</x:v>
      </x:c>
      <x:c r="B102" s="8"/>
      <x:c r="C102" s="9" t="str">
        <x:v>csapadékvíz cső - below ground (DN: ___)</x:v>
      </x:c>
      <x:c r="D102" s="7" t="str">
        <x:v>fm</x:v>
      </x:c>
      <x:c r="E102" s="10"/>
      <x:c r="F102" s="10"/>
      <x:c r="G102" s="10"/>
      <x:c r="H102" s="10"/>
      <x:c r="I102" s="10"/>
      <x:c r="J102" s="10"/>
      <x:c r="K102" s="10"/>
      <x:c r="L102" s="10"/>
      <x:c r="M102" s="11" t="n">
        <x:f aca="0">SUM(E102:L102)</x:f>
        <x:v>0</x:v>
      </x:c>
      <x:c r="N102" s="8"/>
    </x:row>
    <x:row r="103" ht="15" hidden="0">
      <x:c r="A103" s="7" t="s">
        <x:v>104</x:v>
      </x:c>
      <x:c r="B103" s="8"/>
      <x:c r="C103" s="9" t="str">
        <x:v>csapadékvíz akna / csatlakozó akna</x:v>
      </x:c>
      <x:c r="D103" s="7" t="str">
        <x:v>db</x:v>
      </x:c>
      <x:c r="E103" s="10"/>
      <x:c r="F103" s="10"/>
      <x:c r="G103" s="10"/>
      <x:c r="H103" s="10"/>
      <x:c r="I103" s="10"/>
      <x:c r="J103" s="10"/>
      <x:c r="K103" s="10"/>
      <x:c r="L103" s="10"/>
      <x:c r="M103" s="11" t="n">
        <x:f aca="0">SUM(E103:L103)</x:f>
        <x:v>0</x:v>
      </x:c>
      <x:c r="N103" s="8"/>
    </x:row>
    <x:row r="104" ht="15" hidden="0">
      <x:c r="A104" s="7" t="s">
        <x:v>105</x:v>
      </x:c>
      <x:c r="B104" s="8"/>
      <x:c r="C104" s="9" t="s">
        <x:v>106</x:v>
      </x:c>
      <x:c r="D104" s="7" t="str">
        <x:v>fm</x:v>
      </x:c>
      <x:c r="E104" s="10"/>
      <x:c r="F104" s="10"/>
      <x:c r="G104" s="10"/>
      <x:c r="H104" s="10"/>
      <x:c r="I104" s="10"/>
      <x:c r="J104" s="10"/>
      <x:c r="K104" s="10"/>
      <x:c r="L104" s="10"/>
      <x:c r="M104" s="11" t="n">
        <x:f aca="0">SUM(E104:L104)</x:f>
        <x:v>0</x:v>
      </x:c>
      <x:c r="N104" s="8"/>
    </x:row>
    <x:row r="105" ht="15" hidden="0">
      <x:c r="A105" s="7" t="s">
        <x:v>107</x:v>
      </x:c>
      <x:c r="B105" s="8"/>
      <x:c r="C105" s="9" t="s">
        <x:v>108</x:v>
      </x:c>
      <x:c r="D105" s="7" t="str">
        <x:v>db</x:v>
      </x:c>
      <x:c r="E105" s="10"/>
      <x:c r="F105" s="10"/>
      <x:c r="G105" s="10"/>
      <x:c r="H105" s="10"/>
      <x:c r="I105" s="10"/>
      <x:c r="J105" s="10"/>
      <x:c r="K105" s="10"/>
      <x:c r="L105" s="10"/>
      <x:c r="M105" s="11" t="n">
        <x:f aca="0">SUM(E105:L105)</x:f>
        <x:v>0</x:v>
      </x:c>
      <x:c r="N105" s="8"/>
    </x:row>
    <x:row r="106" ht="15" hidden="0">
      <x:c r="A106" s="7" t="s">
        <x:v>109</x:v>
      </x:c>
      <x:c r="B106" s="8"/>
      <x:c r="C106" s="9" t="s">
        <x:v>110</x:v>
      </x:c>
      <x:c r="D106" s="7" t="str">
        <x:v>db</x:v>
      </x:c>
      <x:c r="E106" s="10"/>
      <x:c r="F106" s="10"/>
      <x:c r="G106" s="10"/>
      <x:c r="H106" s="10"/>
      <x:c r="I106" s="10"/>
      <x:c r="J106" s="10"/>
      <x:c r="K106" s="10"/>
      <x:c r="L106" s="10"/>
      <x:c r="M106" s="11" t="n">
        <x:f aca="0">SUM(E106:L106)</x:f>
        <x:v>0</x:v>
      </x:c>
      <x:c r="N106" s="8"/>
    </x:row>
    <x:row r="107" ht="15" hidden="0">
      <x:c r="A107" s="7" t="s">
        <x:v>111</x:v>
      </x:c>
      <x:c r="B107" s="8"/>
      <x:c r="C107" s="9" t="str">
        <x:v>csapadékvíz szivattyú / zsomp szivattyú</x:v>
      </x:c>
      <x:c r="D107" s="7" t="str">
        <x:v>db</x:v>
      </x:c>
      <x:c r="E107" s="10"/>
      <x:c r="F107" s="10"/>
      <x:c r="G107" s="10"/>
      <x:c r="H107" s="10"/>
      <x:c r="I107" s="10"/>
      <x:c r="J107" s="10"/>
      <x:c r="K107" s="10"/>
      <x:c r="L107" s="10"/>
      <x:c r="M107" s="11" t="n">
        <x:f aca="0">SUM(E107:L107)</x:f>
        <x:v>0</x:v>
      </x:c>
      <x:c r="N107" s="8"/>
    </x:row>
    <x:row r="108" ht="19.5" hidden="0" customHeight="1">
      <x:c r="A108" s="5"/>
      <x:c r="B108" s="6" t="str">
        <x:v>TŰZVÉDELEM</x:v>
      </x:c>
      <x:c r="C108" s="6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</x:row>
    <x:row r="109" ht="15" hidden="0">
      <x:c r="A109" s="7" t="s">
        <x:v>112</x:v>
      </x:c>
      <x:c r="B109" s="8"/>
      <x:c r="C109" s="9" t="s">
        <x:v>113</x:v>
      </x:c>
      <x:c r="D109" s="7" t="str">
        <x:v>db</x:v>
      </x:c>
      <x:c r="E109" s="10"/>
      <x:c r="F109" s="10"/>
      <x:c r="G109" s="10"/>
      <x:c r="H109" s="10"/>
      <x:c r="I109" s="10"/>
      <x:c r="J109" s="10"/>
      <x:c r="K109" s="10"/>
      <x:c r="L109" s="10"/>
      <x:c r="M109" s="11" t="n">
        <x:f aca="0">SUM(E109:L109)</x:f>
        <x:v>0</x:v>
      </x:c>
      <x:c r="N109" s="8"/>
    </x:row>
    <x:row r="110" ht="15" hidden="0">
      <x:c r="A110" s="7" t="s">
        <x:v>114</x:v>
      </x:c>
      <x:c r="B110" s="8"/>
      <x:c r="C110" s="9" t="s">
        <x:v>115</x:v>
      </x:c>
      <x:c r="D110" s="7" t="str">
        <x:v>db</x:v>
      </x:c>
      <x:c r="E110" s="10"/>
      <x:c r="F110" s="10"/>
      <x:c r="G110" s="10"/>
      <x:c r="H110" s="10"/>
      <x:c r="I110" s="10"/>
      <x:c r="J110" s="10"/>
      <x:c r="K110" s="10"/>
      <x:c r="L110" s="10"/>
      <x:c r="M110" s="11" t="n">
        <x:f aca="0">SUM(E110:L110)</x:f>
        <x:v>0</x:v>
      </x:c>
      <x:c r="N110" s="8"/>
    </x:row>
    <x:row r="111" ht="15" hidden="0">
      <x:c r="A111" s="7" t="s">
        <x:v>116</x:v>
      </x:c>
      <x:c r="B111" s="8"/>
      <x:c r="C111" s="9" t="s">
        <x:v>117</x:v>
      </x:c>
      <x:c r="D111" s="7" t="str">
        <x:v>db</x:v>
      </x:c>
      <x:c r="E111" s="10"/>
      <x:c r="F111" s="10"/>
      <x:c r="G111" s="10"/>
      <x:c r="H111" s="10"/>
      <x:c r="I111" s="10"/>
      <x:c r="J111" s="10"/>
      <x:c r="K111" s="10"/>
      <x:c r="L111" s="10"/>
      <x:c r="M111" s="11" t="n">
        <x:f aca="0">SUM(E111:L111)</x:f>
        <x:v>0</x:v>
      </x:c>
      <x:c r="N111" s="8"/>
    </x:row>
    <x:row r="112" ht="15" hidden="0">
      <x:c r="A112" s="7" t="s">
        <x:v>118</x:v>
      </x:c>
      <x:c r="B112" s="8"/>
      <x:c r="C112" s="9" t="str">
        <x:v>Sprinkler head - öblítés / recessed</x:v>
      </x:c>
      <x:c r="D112" s="7" t="str">
        <x:v>db</x:v>
      </x:c>
      <x:c r="E112" s="10"/>
      <x:c r="F112" s="10"/>
      <x:c r="G112" s="10"/>
      <x:c r="H112" s="10"/>
      <x:c r="I112" s="10"/>
      <x:c r="J112" s="10"/>
      <x:c r="K112" s="10"/>
      <x:c r="L112" s="10"/>
      <x:c r="M112" s="11" t="n">
        <x:f aca="0">SUM(E112:L112)</x:f>
        <x:v>0</x:v>
      </x:c>
      <x:c r="N112" s="8"/>
    </x:row>
    <x:row r="113" ht="15" hidden="0">
      <x:c r="A113" s="7" t="s">
        <x:v>119</x:v>
      </x:c>
      <x:c r="B113" s="8"/>
      <x:c r="C113" s="9" t="str">
        <x:v>Sprinkler main - black acél (DN: ___)</x:v>
      </x:c>
      <x:c r="D113" s="7" t="str">
        <x:v>fm</x:v>
      </x:c>
      <x:c r="E113" s="10"/>
      <x:c r="F113" s="10"/>
      <x:c r="G113" s="10"/>
      <x:c r="H113" s="10"/>
      <x:c r="I113" s="10"/>
      <x:c r="J113" s="10"/>
      <x:c r="K113" s="10"/>
      <x:c r="L113" s="10"/>
      <x:c r="M113" s="11" t="n">
        <x:f aca="0">SUM(E113:L113)</x:f>
        <x:v>0</x:v>
      </x:c>
      <x:c r="N113" s="8"/>
    </x:row>
    <x:row r="114" ht="15" hidden="0">
      <x:c r="A114" s="7" t="s">
        <x:v>120</x:v>
      </x:c>
      <x:c r="B114" s="8"/>
      <x:c r="C114" s="9" t="str">
        <x:v>Sprinkler branch - black acél (DN: ___)</x:v>
      </x:c>
      <x:c r="D114" s="7" t="str">
        <x:v>fm</x:v>
      </x:c>
      <x:c r="E114" s="10"/>
      <x:c r="F114" s="10"/>
      <x:c r="G114" s="10"/>
      <x:c r="H114" s="10"/>
      <x:c r="I114" s="10"/>
      <x:c r="J114" s="10"/>
      <x:c r="K114" s="10"/>
      <x:c r="L114" s="10"/>
      <x:c r="M114" s="11" t="n">
        <x:f aca="0">SUM(E114:L114)</x:f>
        <x:v>0</x:v>
      </x:c>
      <x:c r="N114" s="8"/>
    </x:row>
    <x:row r="115" ht="15" hidden="0">
      <x:c r="A115" s="7" t="s">
        <x:v>121</x:v>
      </x:c>
      <x:c r="B115" s="8"/>
      <x:c r="C115" s="9" t="str">
        <x:v>Sprinkler drop / arm (- head)</x:v>
      </x:c>
      <x:c r="D115" s="7" t="str">
        <x:v>db</x:v>
      </x:c>
      <x:c r="E115" s="10"/>
      <x:c r="F115" s="10"/>
      <x:c r="G115" s="10"/>
      <x:c r="H115" s="10"/>
      <x:c r="I115" s="10"/>
      <x:c r="J115" s="10"/>
      <x:c r="K115" s="10"/>
      <x:c r="L115" s="10"/>
      <x:c r="M115" s="11" t="n">
        <x:f aca="0">SUM(E115:L115)</x:f>
        <x:v>0</x:v>
      </x:c>
      <x:c r="N115" s="8"/>
    </x:row>
    <x:row r="116" ht="15" hidden="0">
      <x:c r="A116" s="7" t="s">
        <x:v>122</x:v>
      </x:c>
      <x:c r="B116" s="8"/>
      <x:c r="C116" s="9" t="str">
        <x:v>riasztó szelep / szabályozószelep set</x:v>
      </x:c>
      <x:c r="D116" s="7" t="str">
        <x:v>db</x:v>
      </x:c>
      <x:c r="E116" s="10"/>
      <x:c r="F116" s="10"/>
      <x:c r="G116" s="10"/>
      <x:c r="H116" s="10"/>
      <x:c r="I116" s="10"/>
      <x:c r="J116" s="10"/>
      <x:c r="K116" s="10"/>
      <x:c r="L116" s="10"/>
      <x:c r="M116" s="11" t="n">
        <x:f aca="0">SUM(E116:L116)</x:f>
        <x:v>0</x:v>
      </x:c>
      <x:c r="N116" s="8"/>
    </x:row>
    <x:row r="117" ht="15" hidden="0">
      <x:c r="A117" s="7" t="s">
        <x:v>123</x:v>
      </x:c>
      <x:c r="B117" s="8"/>
      <x:c r="C117" s="9" t="s">
        <x:v>124</x:v>
      </x:c>
      <x:c r="D117" s="7" t="str">
        <x:v>db</x:v>
      </x:c>
      <x:c r="E117" s="10"/>
      <x:c r="F117" s="10"/>
      <x:c r="G117" s="10"/>
      <x:c r="H117" s="10"/>
      <x:c r="I117" s="10"/>
      <x:c r="J117" s="10"/>
      <x:c r="K117" s="10"/>
      <x:c r="L117" s="10"/>
      <x:c r="M117" s="11" t="n">
        <x:f aca="0">SUM(E117:L117)</x:f>
        <x:v>0</x:v>
      </x:c>
      <x:c r="N117" s="8"/>
    </x:row>
    <x:row r="118" ht="15" hidden="0">
      <x:c r="A118" s="7" t="s">
        <x:v>125</x:v>
      </x:c>
      <x:c r="B118" s="8"/>
      <x:c r="C118" s="9" t="s">
        <x:v>126</x:v>
      </x:c>
      <x:c r="D118" s="7" t="str">
        <x:v>db</x:v>
      </x:c>
      <x:c r="E118" s="10"/>
      <x:c r="F118" s="10"/>
      <x:c r="G118" s="10"/>
      <x:c r="H118" s="10"/>
      <x:c r="I118" s="10"/>
      <x:c r="J118" s="10"/>
      <x:c r="K118" s="10"/>
      <x:c r="L118" s="10"/>
      <x:c r="M118" s="11" t="n">
        <x:f aca="0">SUM(E118:L118)</x:f>
        <x:v>0</x:v>
      </x:c>
      <x:c r="N118" s="8"/>
    </x:row>
    <x:row r="119" ht="15" hidden="0">
      <x:c r="A119" s="7" t="s">
        <x:v>127</x:v>
      </x:c>
      <x:c r="B119" s="8"/>
      <x:c r="C119" s="9" t="str">
        <x:v>Test &amp; drain szelep assembly</x:v>
      </x:c>
      <x:c r="D119" s="7" t="str">
        <x:v>db</x:v>
      </x:c>
      <x:c r="E119" s="10"/>
      <x:c r="F119" s="10"/>
      <x:c r="G119" s="10"/>
      <x:c r="H119" s="10"/>
      <x:c r="I119" s="10"/>
      <x:c r="J119" s="10"/>
      <x:c r="K119" s="10"/>
      <x:c r="L119" s="10"/>
      <x:c r="M119" s="11" t="n">
        <x:f aca="0">SUM(E119:L119)</x:f>
        <x:v>0</x:v>
      </x:c>
      <x:c r="N119" s="8"/>
    </x:row>
    <x:row r="120" ht="15" hidden="0">
      <x:c r="A120" s="7" t="s">
        <x:v>128</x:v>
      </x:c>
      <x:c r="B120" s="8"/>
      <x:c r="C120" s="9" t="str">
        <x:v>Fire hydrant - landing szelep</x:v>
      </x:c>
      <x:c r="D120" s="7" t="str">
        <x:v>db</x:v>
      </x:c>
      <x:c r="E120" s="10"/>
      <x:c r="F120" s="10"/>
      <x:c r="G120" s="10"/>
      <x:c r="H120" s="10"/>
      <x:c r="I120" s="10"/>
      <x:c r="J120" s="10"/>
      <x:c r="K120" s="10"/>
      <x:c r="L120" s="10"/>
      <x:c r="M120" s="11" t="n">
        <x:f aca="0">SUM(E120:L120)</x:f>
        <x:v>0</x:v>
      </x:c>
      <x:c r="N120" s="8"/>
    </x:row>
    <x:row r="121" ht="15" hidden="0">
      <x:c r="A121" s="7" t="s">
        <x:v>129</x:v>
      </x:c>
      <x:c r="B121" s="8"/>
      <x:c r="C121" s="9" t="s">
        <x:v>130</x:v>
      </x:c>
      <x:c r="D121" s="7" t="str">
        <x:v>db</x:v>
      </x:c>
      <x:c r="E121" s="10"/>
      <x:c r="F121" s="10"/>
      <x:c r="G121" s="10"/>
      <x:c r="H121" s="10"/>
      <x:c r="I121" s="10"/>
      <x:c r="J121" s="10"/>
      <x:c r="K121" s="10"/>
      <x:c r="L121" s="10"/>
      <x:c r="M121" s="11" t="n">
        <x:f aca="0">SUM(E121:L121)</x:f>
        <x:v>0</x:v>
      </x:c>
      <x:c r="N121" s="8"/>
    </x:row>
    <x:row r="122" ht="15" hidden="0">
      <x:c r="A122" s="7" t="s">
        <x:v>131</x:v>
      </x:c>
      <x:c r="B122" s="8"/>
      <x:c r="C122" s="9" t="s">
        <x:v>132</x:v>
      </x:c>
      <x:c r="D122" s="7" t="str">
        <x:v>db</x:v>
      </x:c>
      <x:c r="E122" s="10"/>
      <x:c r="F122" s="10"/>
      <x:c r="G122" s="10"/>
      <x:c r="H122" s="10"/>
      <x:c r="I122" s="10"/>
      <x:c r="J122" s="10"/>
      <x:c r="K122" s="10"/>
      <x:c r="L122" s="10"/>
      <x:c r="M122" s="11" t="n">
        <x:f aca="0">SUM(E122:L122)</x:f>
        <x:v>0</x:v>
      </x:c>
      <x:c r="N122" s="8"/>
    </x:row>
    <x:row r="123" ht="15" hidden="0">
      <x:c r="A123" s="7" t="s">
        <x:v>133</x:v>
      </x:c>
      <x:c r="B123" s="8"/>
      <x:c r="C123" s="9" t="str">
        <x:v>Fire szivattyú set (elektromos + diesel + jockey)</x:v>
      </x:c>
      <x:c r="D123" s="7" t="str">
        <x:v>db</x:v>
      </x:c>
      <x:c r="E123" s="10"/>
      <x:c r="F123" s="10"/>
      <x:c r="G123" s="10"/>
      <x:c r="H123" s="10"/>
      <x:c r="I123" s="10"/>
      <x:c r="J123" s="10"/>
      <x:c r="K123" s="10"/>
      <x:c r="L123" s="10"/>
      <x:c r="M123" s="11" t="n">
        <x:f aca="0">SUM(E123:L123)</x:f>
        <x:v>0</x:v>
      </x:c>
      <x:c r="N123" s="8"/>
    </x:row>
    <x:row r="124" ht="15" hidden="0">
      <x:c r="A124" s="7" t="s">
        <x:v>134</x:v>
      </x:c>
      <x:c r="B124" s="8"/>
      <x:c r="C124" s="9" t="str">
        <x:v>Fire víz tank</x:v>
      </x:c>
      <x:c r="D124" s="7" t="str">
        <x:v>db</x:v>
      </x:c>
      <x:c r="E124" s="10"/>
      <x:c r="F124" s="10"/>
      <x:c r="G124" s="10"/>
      <x:c r="H124" s="10"/>
      <x:c r="I124" s="10"/>
      <x:c r="J124" s="10"/>
      <x:c r="K124" s="10"/>
      <x:c r="L124" s="10"/>
      <x:c r="M124" s="11" t="n">
        <x:f aca="0">SUM(E124:L124)</x:f>
        <x:v>0</x:v>
      </x:c>
      <x:c r="N124" s="8"/>
    </x:row>
    <x:row r="125" ht="15" hidden="0">
      <x:c r="A125" s="7" t="s">
        <x:v>135</x:v>
      </x:c>
      <x:c r="B125" s="8"/>
      <x:c r="C125" s="9" t="str">
        <x:v>Hydrant main - horganyzott acél (DN: ___)</x:v>
      </x:c>
      <x:c r="D125" s="7" t="str">
        <x:v>fm</x:v>
      </x:c>
      <x:c r="E125" s="10"/>
      <x:c r="F125" s="10"/>
      <x:c r="G125" s="10"/>
      <x:c r="H125" s="10"/>
      <x:c r="I125" s="10"/>
      <x:c r="J125" s="10"/>
      <x:c r="K125" s="10"/>
      <x:c r="L125" s="10"/>
      <x:c r="M125" s="11" t="n">
        <x:f aca="0">SUM(E125:L125)</x:f>
        <x:v>0</x:v>
      </x:c>
      <x:c r="N125" s="8"/>
    </x:row>
    <x:row r="126" ht="19.5" hidden="0" customHeight="1">
      <x:c r="A126" s="5"/>
      <x:c r="B126" s="6" t="str">
        <x:v>GÁZ</x:v>
      </x:c>
      <x:c r="C126" s="6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</x:row>
    <x:row r="127" ht="15" hidden="0">
      <x:c r="A127" s="7" t="s">
        <x:v>136</x:v>
      </x:c>
      <x:c r="B127" s="8"/>
      <x:c r="C127" s="9" t="str">
        <x:v>Gas cső - réz / acél (DN: ___)</x:v>
      </x:c>
      <x:c r="D127" s="7" t="str">
        <x:v>fm</x:v>
      </x:c>
      <x:c r="E127" s="10"/>
      <x:c r="F127" s="10"/>
      <x:c r="G127" s="10"/>
      <x:c r="H127" s="10"/>
      <x:c r="I127" s="10"/>
      <x:c r="J127" s="10"/>
      <x:c r="K127" s="10"/>
      <x:c r="L127" s="10"/>
      <x:c r="M127" s="11" t="n">
        <x:f aca="0">SUM(E127:L127)</x:f>
        <x:v>0</x:v>
      </x:c>
      <x:c r="N127" s="8"/>
    </x:row>
    <x:row r="128" ht="15" hidden="0">
      <x:c r="A128" s="7" t="s">
        <x:v>137</x:v>
      </x:c>
      <x:c r="B128" s="8"/>
      <x:c r="C128" s="9" t="str">
        <x:v>Gas cső - PE (below ground, DN: ___)</x:v>
      </x:c>
      <x:c r="D128" s="7" t="str">
        <x:v>fm</x:v>
      </x:c>
      <x:c r="E128" s="10"/>
      <x:c r="F128" s="10"/>
      <x:c r="G128" s="10"/>
      <x:c r="H128" s="10"/>
      <x:c r="I128" s="10"/>
      <x:c r="J128" s="10"/>
      <x:c r="K128" s="10"/>
      <x:c r="L128" s="10"/>
      <x:c r="M128" s="11" t="n">
        <x:f aca="0">SUM(E128:L128)</x:f>
        <x:v>0</x:v>
      </x:c>
      <x:c r="N128" s="8"/>
    </x:row>
    <x:row r="129" ht="15" hidden="0">
      <x:c r="A129" s="7" t="s">
        <x:v>138</x:v>
      </x:c>
      <x:c r="B129" s="8"/>
      <x:c r="C129" s="9" t="s">
        <x:v>139</x:v>
      </x:c>
      <x:c r="D129" s="7" t="str">
        <x:v>db</x:v>
      </x:c>
      <x:c r="E129" s="10"/>
      <x:c r="F129" s="10"/>
      <x:c r="G129" s="10"/>
      <x:c r="H129" s="10"/>
      <x:c r="I129" s="10"/>
      <x:c r="J129" s="10"/>
      <x:c r="K129" s="10"/>
      <x:c r="L129" s="10"/>
      <x:c r="M129" s="11" t="n">
        <x:f aca="0">SUM(E129:L129)</x:f>
        <x:v>0</x:v>
      </x:c>
      <x:c r="N129" s="8"/>
    </x:row>
    <x:row r="130" ht="15" hidden="0">
      <x:c r="A130" s="7" t="s">
        <x:v>140</x:v>
      </x:c>
      <x:c r="B130" s="8"/>
      <x:c r="C130" s="9" t="str">
        <x:v>Gas elzáró szelep</x:v>
      </x:c>
      <x:c r="D130" s="7" t="str">
        <x:v>db</x:v>
      </x:c>
      <x:c r="E130" s="10"/>
      <x:c r="F130" s="10"/>
      <x:c r="G130" s="10"/>
      <x:c r="H130" s="10"/>
      <x:c r="I130" s="10"/>
      <x:c r="J130" s="10"/>
      <x:c r="K130" s="10"/>
      <x:c r="L130" s="10"/>
      <x:c r="M130" s="11" t="n">
        <x:f aca="0">SUM(E130:L130)</x:f>
        <x:v>0</x:v>
      </x:c>
      <x:c r="N130" s="8"/>
    </x:row>
    <x:row r="131" ht="15" hidden="0">
      <x:c r="A131" s="7" t="s">
        <x:v>141</x:v>
      </x:c>
      <x:c r="B131" s="8"/>
      <x:c r="C131" s="9" t="s">
        <x:v>142</x:v>
      </x:c>
      <x:c r="D131" s="7" t="str">
        <x:v>db</x:v>
      </x:c>
      <x:c r="E131" s="10"/>
      <x:c r="F131" s="10"/>
      <x:c r="G131" s="10"/>
      <x:c r="H131" s="10"/>
      <x:c r="I131" s="10"/>
      <x:c r="J131" s="10"/>
      <x:c r="K131" s="10"/>
      <x:c r="L131" s="10"/>
      <x:c r="M131" s="11" t="n">
        <x:f aca="0">SUM(E131:L131)</x:f>
        <x:v>0</x:v>
      </x:c>
      <x:c r="N131" s="8"/>
    </x:row>
    <x:row r="132" ht="15" hidden="0">
      <x:c r="A132" s="7" t="s">
        <x:v>143</x:v>
      </x:c>
      <x:c r="B132" s="8"/>
      <x:c r="C132" s="9" t="str">
        <x:v>Gas appliance csatlakozás (HWU/cooktop)</x:v>
      </x:c>
      <x:c r="D132" s="7" t="str">
        <x:v>db</x:v>
      </x:c>
      <x:c r="E132" s="10"/>
      <x:c r="F132" s="10"/>
      <x:c r="G132" s="10"/>
      <x:c r="H132" s="10"/>
      <x:c r="I132" s="10"/>
      <x:c r="J132" s="10"/>
      <x:c r="K132" s="10"/>
      <x:c r="L132" s="10"/>
      <x:c r="M132" s="11" t="n">
        <x:f aca="0">SUM(E132:L132)</x:f>
        <x:v>0</x:v>
      </x:c>
      <x:c r="N132" s="8"/>
    </x:row>
    <x:row r="133" ht="19.5" hidden="0" customHeight="1">
      <x:c r="A133" s="5"/>
      <x:c r="B133" s="6" t="str">
        <x:v>TESZTELÉS ÉS ÜZEMBE HELYEZÉS</x:v>
      </x:c>
      <x:c r="C133" s="6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</x:row>
    <x:row r="134" ht="15" hidden="0">
      <x:c r="A134" s="7" t="s">
        <x:v>144</x:v>
      </x:c>
      <x:c r="B134" s="8"/>
      <x:c r="C134" s="9" t="str">
        <x:v>nyomáspróba - víz befúvás (per zone)</x:v>
      </x:c>
      <x:c r="D134" s="7" t="str">
        <x:v>db</x:v>
      </x:c>
      <x:c r="E134" s="10"/>
      <x:c r="F134" s="10"/>
      <x:c r="G134" s="10"/>
      <x:c r="H134" s="10"/>
      <x:c r="I134" s="10"/>
      <x:c r="J134" s="10"/>
      <x:c r="K134" s="10"/>
      <x:c r="L134" s="10"/>
      <x:c r="M134" s="11" t="n">
        <x:f aca="0">SUM(E134:L134)</x:f>
        <x:v>0</x:v>
      </x:c>
      <x:c r="N134" s="8"/>
    </x:row>
    <x:row r="135" ht="15" hidden="0">
      <x:c r="A135" s="7" t="s">
        <x:v>145</x:v>
      </x:c>
      <x:c r="B135" s="8"/>
      <x:c r="C135" s="9" t="str">
        <x:v>vízelvezetés test - víz/air (per stack)</x:v>
      </x:c>
      <x:c r="D135" s="7" t="str">
        <x:v>db</x:v>
      </x:c>
      <x:c r="E135" s="10"/>
      <x:c r="F135" s="10"/>
      <x:c r="G135" s="10"/>
      <x:c r="H135" s="10"/>
      <x:c r="I135" s="10"/>
      <x:c r="J135" s="10"/>
      <x:c r="K135" s="10"/>
      <x:c r="L135" s="10"/>
      <x:c r="M135" s="11" t="n">
        <x:f aca="0">SUM(E135:L135)</x:f>
        <x:v>0</x:v>
      </x:c>
      <x:c r="N135" s="8"/>
    </x:row>
    <x:row r="136" ht="15" hidden="0">
      <x:c r="A136" s="7" t="s">
        <x:v>146</x:v>
      </x:c>
      <x:c r="B136" s="8"/>
      <x:c r="C136" s="9" t="s">
        <x:v>147</x:v>
      </x:c>
      <x:c r="D136" s="7" t="str">
        <x:v>db</x:v>
      </x:c>
      <x:c r="E136" s="10"/>
      <x:c r="F136" s="10"/>
      <x:c r="G136" s="10"/>
      <x:c r="H136" s="10"/>
      <x:c r="I136" s="10"/>
      <x:c r="J136" s="10"/>
      <x:c r="K136" s="10"/>
      <x:c r="L136" s="10"/>
      <x:c r="M136" s="11" t="n">
        <x:f aca="0">SUM(E136:L136)</x:f>
        <x:v>0</x:v>
      </x:c>
      <x:c r="N136" s="8"/>
    </x:row>
    <x:row r="137" ht="15" hidden="0">
      <x:c r="A137" s="7" t="s">
        <x:v>148</x:v>
      </x:c>
      <x:c r="B137" s="8"/>
      <x:c r="C137" s="9" t="s">
        <x:v>149</x:v>
      </x:c>
      <x:c r="D137" s="7" t="str">
        <x:v>db</x:v>
      </x:c>
      <x:c r="E137" s="10"/>
      <x:c r="F137" s="10"/>
      <x:c r="G137" s="10"/>
      <x:c r="H137" s="10"/>
      <x:c r="I137" s="10"/>
      <x:c r="J137" s="10"/>
      <x:c r="K137" s="10"/>
      <x:c r="L137" s="10"/>
      <x:c r="M137" s="11" t="n">
        <x:f aca="0">SUM(E137:L137)</x:f>
        <x:v>0</x:v>
      </x:c>
      <x:c r="N137" s="8"/>
    </x:row>
    <x:row r="138" ht="15" hidden="0">
      <x:c r="A138" s="7" t="s">
        <x:v>150</x:v>
      </x:c>
      <x:c r="B138" s="8"/>
      <x:c r="C138" s="9" t="str">
        <x:v>TMV commissioning (per szelep)</x:v>
      </x:c>
      <x:c r="D138" s="7" t="str">
        <x:v>db</x:v>
      </x:c>
      <x:c r="E138" s="10"/>
      <x:c r="F138" s="10"/>
      <x:c r="G138" s="10"/>
      <x:c r="H138" s="10"/>
      <x:c r="I138" s="10"/>
      <x:c r="J138" s="10"/>
      <x:c r="K138" s="10"/>
      <x:c r="L138" s="10"/>
      <x:c r="M138" s="11" t="n">
        <x:f aca="0">SUM(E138:L138)</x:f>
        <x:v>0</x:v>
      </x:c>
      <x:c r="N138" s="8"/>
    </x:row>
    <x:row r="139" ht="15" hidden="0">
      <x:c r="A139" s="7" t="s">
        <x:v>151</x:v>
      </x:c>
      <x:c r="B139" s="8"/>
      <x:c r="C139" s="9" t="s">
        <x:v>152</x:v>
      </x:c>
      <x:c r="D139" s="7" t="str">
        <x:v>db</x:v>
      </x:c>
      <x:c r="E139" s="10"/>
      <x:c r="F139" s="10"/>
      <x:c r="G139" s="10"/>
      <x:c r="H139" s="10"/>
      <x:c r="I139" s="10"/>
      <x:c r="J139" s="10"/>
      <x:c r="K139" s="10"/>
      <x:c r="L139" s="10"/>
      <x:c r="M139" s="11" t="n">
        <x:f aca="0">SUM(E139:L139)</x:f>
        <x:v>0</x:v>
      </x:c>
      <x:c r="N139" s="8"/>
    </x:row>
  </x:sheetData>
  <x:mergeCells>
    <x:mergeCell ref="A1:N1"/>
    <x:mergeCell ref="B10:C10"/>
    <x:mergeCell ref="B26:C26"/>
    <x:mergeCell ref="B41:C41"/>
    <x:mergeCell ref="B60:C60"/>
    <x:mergeCell ref="B73:C73"/>
    <x:mergeCell ref="B95:C95"/>
    <x:mergeCell ref="B108:C108"/>
    <x:mergeCell ref="B126:C126"/>
    <x:mergeCell ref="B133:C1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42" hidden="0" customWidth="1"/>
    <x:col min="3" max="3" width="8" hidden="0" customWidth="1"/>
    <x:col min="4" max="4" width="10" hidden="0" customWidth="1"/>
    <x:col min="5" max="7" width="11" hidden="0" customWidth="1"/>
    <x:col min="8" max="8" width="12" hidden="0" customWidth="1"/>
    <x:col min="9" max="9" width="13" hidden="0" customWidth="1"/>
    <x:col min="10" max="10" width="28" hidden="0" customWidth="1"/>
  </x:cols>
  <x:sheetData>
    <x:row r="1" ht="24" hidden="0" customHeight="1">
      <x:c r="A1" s="1" t="str">
        <x:v>VÍZ-CSATORNA ASSEMBLY-K - MENNYISÉGI KIMUTATÁS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15" hidden="0" customHeight="1">
      <x:c r="A2" s="12" t="str">
        <x:v>primer quantities link - the Plumbing QTO sheet. Adjust egységárak és component fajlagosok - suit your project.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hidden="0" customHeight="1">
      <x:c r="A4" s="3" t="s">
        <x:v>153</x:v>
      </x:c>
      <x:c r="B4" s="3" t="str">
        <x:v>Komponens megnevezése</x:v>
      </x:c>
      <x:c r="C4" s="3" t="str">
        <x:v>Mértékegység</x:v>
      </x:c>
      <x:c r="D4" s="3" t="str">
        <x:v>Fajlagos /
primer mennyiség</x:v>
      </x:c>
      <x:c r="E4" s="3" t="str">
        <x:v>Primer
mennyiség</x:v>
      </x:c>
      <x:c r="F4" s="3" t="s">
        <x:v>154</x:v>
      </x:c>
      <x:c r="G4" s="3" t="str">
        <x:v>Egységár</x:v>
      </x:c>
      <x:c r="H4" s="3" t="str">
        <x:v>Összes költség</x:v>
      </x:c>
      <x:c r="I4" s="3" t="str">
        <x:v>Szakág / munkanem</x:v>
      </x:c>
      <x:c r="J4" s="3" t="str">
        <x:v>Megjegyzés</x:v>
      </x:c>
    </x:row>
    <x:row r="6" ht="15" hidden="0">
      <x:c r="J6" s="13" t="str">
        <x:v>Mennyiségfelvétel hivatkozás 1.1</x:v>
      </x:c>
    </x:row>
    <x:row r="7" ht="15" hidden="0">
      <x:c r="A7" s="14" t="s">
        <x:v>155</x:v>
      </x:c>
      <x:c r="B7" s="15" t="str">
        <x:v>WC-csésze - álló kivitelű (monoblokkos)</x:v>
      </x:c>
      <x:c r="C7" s="7" t="str">
        <x:v>db</x:v>
      </x:c>
      <x:c r="D7" s="16" t="n">
        <x:v>1</x:v>
      </x:c>
      <x:c r="E7" s="11" t="n">
        <x:f aca="0">'Plumbing QTO'!M11</x:f>
        <x:v>0</x:v>
      </x:c>
      <x:c r="F7" s="17" t="n">
        <x:f aca="0">D7*E7</x:f>
        <x:v>0</x:v>
      </x:c>
      <x:c r="G7" s="10"/>
      <x:c r="H7" s="17" t="n">
        <x:f aca="0">F7*G7</x:f>
        <x:v>0</x:v>
      </x:c>
      <x:c r="I7" s="9" t="str">
        <x:v>Víz-csatorna</x:v>
      </x:c>
      <x:c r="J7" s="9" t="str">
        <x:v>csak anyagellátás</x:v>
      </x:c>
    </x:row>
    <x:row r="8" ht="28.350000381469727" hidden="0">
      <x:c r="A8" s="8"/>
      <x:c r="B8" s="9" t="str">
        <x:v>öblítőtartály (monoblokkos)</x:v>
      </x:c>
      <x:c r="C8" s="7" t="str">
        <x:v>db</x:v>
      </x:c>
      <x:c r="D8" s="16" t="n">
        <x:v>1</x:v>
      </x:c>
      <x:c r="E8" s="17" t="n">
        <x:f aca="0">E$7</x:f>
        <x:v>0</x:v>
      </x:c>
      <x:c r="F8" s="17" t="n">
        <x:f aca="0">D8*E8</x:f>
        <x:v>0</x:v>
      </x:c>
      <x:c r="G8" s="10"/>
      <x:c r="H8" s="17" t="n">
        <x:f aca="0">F8*G8</x:f>
        <x:v>0</x:v>
      </x:c>
      <x:c r="I8" s="9" t="str">
        <x:v>Víz-csatorna</x:v>
      </x:c>
      <x:c r="J8" s="9" t="str">
        <x:v>tartalmazza inlet szelep &amp; öblítés mech</x:v>
      </x:c>
    </x:row>
    <x:row r="9" ht="15" hidden="0">
      <x:c r="A9" s="8"/>
      <x:c r="B9" s="9" t="s">
        <x:v>31</x:v>
      </x:c>
      <x:c r="C9" s="7" t="str">
        <x:v>db</x:v>
      </x:c>
      <x:c r="D9" s="16" t="n">
        <x:v>1</x:v>
      </x:c>
      <x:c r="E9" s="17" t="n">
        <x:f aca="0">E$7</x:f>
        <x:v>0</x:v>
      </x:c>
      <x:c r="F9" s="17" t="n">
        <x:f aca="0">D9*E9</x:f>
        <x:v>0</x:v>
      </x:c>
      <x:c r="G9" s="10"/>
      <x:c r="H9" s="17" t="n">
        <x:f aca="0">F9*G9</x:f>
        <x:v>0</x:v>
      </x:c>
      <x:c r="I9" s="9" t="str">
        <x:v>Víz-csatorna</x:v>
      </x:c>
      <x:c r="J9" s="9"/>
    </x:row>
    <x:row r="10" ht="15" hidden="0">
      <x:c r="A10" s="8"/>
      <x:c r="B10" s="9" t="str">
        <x:v>WC bekötő idom / S-bűzzár csatlakozó</x:v>
      </x:c>
      <x:c r="C10" s="7" t="str">
        <x:v>db</x:v>
      </x:c>
      <x:c r="D10" s="16" t="n">
        <x:v>1</x:v>
      </x:c>
      <x:c r="E10" s="17" t="n">
        <x:f aca="0">E$7</x:f>
        <x:v>0</x:v>
      </x:c>
      <x:c r="F10" s="17" t="n">
        <x:f aca="0">D10*E10</x:f>
        <x:v>0</x:v>
      </x:c>
      <x:c r="G10" s="10"/>
      <x:c r="H10" s="17" t="n">
        <x:f aca="0">F10*G10</x:f>
        <x:v>0</x:v>
      </x:c>
      <x:c r="I10" s="9" t="str">
        <x:v>Víz-csatorna</x:v>
      </x:c>
      <x:c r="J10" s="9" t="str">
        <x:v>illeszkedjen pan outlet</x:v>
      </x:c>
    </x:row>
    <x:row r="11" ht="15" hidden="0">
      <x:c r="A11" s="8"/>
      <x:c r="B11" s="9" t="str">
        <x:v>flexibilis vízbekötő (1/2")</x:v>
      </x:c>
      <x:c r="C11" s="7" t="str">
        <x:v>db</x:v>
      </x:c>
      <x:c r="D11" s="16" t="n">
        <x:v>1</x:v>
      </x:c>
      <x:c r="E11" s="17" t="n">
        <x:f aca="0">E$7</x:f>
        <x:v>0</x:v>
      </x:c>
      <x:c r="F11" s="17" t="n">
        <x:f aca="0">D11*E11</x:f>
        <x:v>0</x:v>
      </x:c>
      <x:c r="G11" s="10"/>
      <x:c r="H11" s="17" t="n">
        <x:f aca="0">F11*G11</x:f>
        <x:v>0</x:v>
      </x:c>
      <x:c r="I11" s="9" t="str">
        <x:v>Víz-csatorna</x:v>
      </x:c>
      <x:c r="J11" s="9" t="str">
        <x:v>öblítőtartály inlet</x:v>
      </x:c>
    </x:row>
    <x:row r="12" ht="15" hidden="0">
      <x:c r="A12" s="8"/>
      <x:c r="B12" s="9" t="str">
        <x:v>Mini stop / elzáró szelep</x:v>
      </x:c>
      <x:c r="C12" s="7" t="str">
        <x:v>db</x:v>
      </x:c>
      <x:c r="D12" s="16" t="n">
        <x:v>1</x:v>
      </x:c>
      <x:c r="E12" s="17" t="n">
        <x:f aca="0">E$7</x:f>
        <x:v>0</x:v>
      </x:c>
      <x:c r="F12" s="17" t="n">
        <x:f aca="0">D12*E12</x:f>
        <x:v>0</x:v>
      </x:c>
      <x:c r="G12" s="10"/>
      <x:c r="H12" s="17" t="n">
        <x:f aca="0">F12*G12</x:f>
        <x:v>0</x:v>
      </x:c>
      <x:c r="I12" s="9" t="str">
        <x:v>Víz-csatorna</x:v>
      </x:c>
      <x:c r="J12" s="9" t="str">
        <x:v>berendezésenként</x:v>
      </x:c>
    </x:row>
    <x:row r="13" ht="15" hidden="0">
      <x:c r="A13" s="8"/>
      <x:c r="B13" s="9" t="str">
        <x:v>padló rögzítőelemek (gyári készlet)</x:v>
      </x:c>
      <x:c r="C13" s="7" t="str">
        <x:v>klt.</x:v>
      </x:c>
      <x:c r="D13" s="16" t="n">
        <x:v>1</x:v>
      </x:c>
      <x:c r="E13" s="17" t="n">
        <x:f aca="0">E$7</x:f>
        <x:v>0</x:v>
      </x:c>
      <x:c r="F13" s="17" t="n">
        <x:f aca="0">D13*E13</x:f>
        <x:v>0</x:v>
      </x:c>
      <x:c r="G13" s="10"/>
      <x:c r="H13" s="17" t="n">
        <x:f aca="0">F13*G13</x:f>
        <x:v>0</x:v>
      </x:c>
      <x:c r="I13" s="9" t="str">
        <x:v>Víz-csatorna</x:v>
      </x:c>
      <x:c r="J13" s="9"/>
    </x:row>
    <x:row r="14" ht="15" hidden="0">
      <x:c r="A14" s="8"/>
      <x:c r="B14" s="9" t="str">
        <x:v>szilikon tömítőanyag</x:v>
      </x:c>
      <x:c r="C14" s="7" t="str">
        <x:v>tubus</x:v>
      </x:c>
      <x:c r="D14" s="16" t="n">
        <x:v>0.25</x:v>
      </x:c>
      <x:c r="E14" s="17" t="n">
        <x:f aca="0">E$7</x:f>
        <x:v>0</x:v>
      </x:c>
      <x:c r="F14" s="17" t="n">
        <x:f aca="0">D14*E14</x:f>
        <x:v>0</x:v>
      </x:c>
      <x:c r="G14" s="10"/>
      <x:c r="H14" s="17" t="n">
        <x:f aca="0">F14*G14</x:f>
        <x:v>0</x:v>
      </x:c>
      <x:c r="I14" s="9" t="str">
        <x:v>Víz-csatorna</x:v>
      </x:c>
      <x:c r="J14" s="9" t="str">
        <x:v>4 fixtures tubusonként</x:v>
      </x:c>
    </x:row>
    <x:row r="15" ht="15" hidden="0">
      <x:c r="A15" s="8"/>
      <x:c r="B15" s="9" t="str">
        <x:v>Branch waste cső (PVC DN100)</x:v>
      </x:c>
      <x:c r="C15" s="7" t="str">
        <x:v>fm</x:v>
      </x:c>
      <x:c r="D15" s="16" t="n">
        <x:v>2</x:v>
      </x:c>
      <x:c r="E15" s="17" t="n">
        <x:f aca="0">E$7</x:f>
        <x:v>0</x:v>
      </x:c>
      <x:c r="F15" s="17" t="n">
        <x:f aca="0">D15*E15</x:f>
        <x:v>0</x:v>
      </x:c>
      <x:c r="G15" s="10"/>
      <x:c r="H15" s="17" t="n">
        <x:f aca="0">F15*G15</x:f>
        <x:v>0</x:v>
      </x:c>
      <x:c r="I15" s="9" t="str">
        <x:v>Víz-csatorna</x:v>
      </x:c>
      <x:c r="J15" s="9" t="s">
        <x:v>156</x:v>
      </x:c>
    </x:row>
    <x:row r="16" ht="15" hidden="0">
      <x:c r="A16" s="8"/>
      <x:c r="B16" s="9" t="str">
        <x:v>hidegvíz branch (DN15 réz/PEX)</x:v>
      </x:c>
      <x:c r="C16" s="7" t="str">
        <x:v>fm</x:v>
      </x:c>
      <x:c r="D16" s="16" t="n">
        <x:v>2</x:v>
      </x:c>
      <x:c r="E16" s="17" t="n">
        <x:f aca="0">E$7</x:f>
        <x:v>0</x:v>
      </x:c>
      <x:c r="F16" s="17" t="n">
        <x:f aca="0">D16*E16</x:f>
        <x:v>0</x:v>
      </x:c>
      <x:c r="G16" s="10"/>
      <x:c r="H16" s="17" t="n">
        <x:f aca="0">F16*G16</x:f>
        <x:v>0</x:v>
      </x:c>
      <x:c r="I16" s="9" t="str">
        <x:v>Víz-csatorna</x:v>
      </x:c>
      <x:c r="J16" s="9" t="str">
        <x:v>To öblítőtartály</x:v>
      </x:c>
    </x:row>
    <x:row r="17" ht="15" hidden="0">
      <x:c r="A17" s="8"/>
      <x:c r="B17" s="9" t="str">
        <x:v>cső idomok (waste + cold)</x:v>
      </x:c>
      <x:c r="C17" s="7" t="str">
        <x:v>db</x:v>
      </x:c>
      <x:c r="D17" s="16" t="n">
        <x:v>4</x:v>
      </x:c>
      <x:c r="E17" s="17" t="n">
        <x:f aca="0">E$7</x:f>
        <x:v>0</x:v>
      </x:c>
      <x:c r="F17" s="17" t="n">
        <x:f aca="0">D17*E17</x:f>
        <x:v>0</x:v>
      </x:c>
      <x:c r="G17" s="10"/>
      <x:c r="H17" s="17" t="n">
        <x:f aca="0">F17*G17</x:f>
        <x:v>0</x:v>
      </x:c>
      <x:c r="I17" s="9" t="str">
        <x:v>Víz-csatorna</x:v>
      </x:c>
      <x:c r="J17" s="9"/>
    </x:row>
    <x:row r="18" ht="15" hidden="0">
      <x:c r="A18" s="8"/>
      <x:c r="B18" s="9" t="str">
        <x:v>cső hangers / clips</x:v>
      </x:c>
      <x:c r="C18" s="7" t="str">
        <x:v>db</x:v>
      </x:c>
      <x:c r="D18" s="16" t="n">
        <x:v>4</x:v>
      </x:c>
      <x:c r="E18" s="17" t="n">
        <x:f aca="0">E$7</x:f>
        <x:v>0</x:v>
      </x:c>
      <x:c r="F18" s="17" t="n">
        <x:f aca="0">D18*E18</x:f>
        <x:v>0</x:v>
      </x:c>
      <x:c r="G18" s="10"/>
      <x:c r="H18" s="17" t="n">
        <x:f aca="0">F18*G18</x:f>
        <x:v>0</x:v>
      </x:c>
      <x:c r="I18" s="9" t="str">
        <x:v>Víz-csatorna</x:v>
      </x:c>
      <x:c r="J18" s="9"/>
    </x:row>
    <x:row r="19" ht="15" hidden="0">
      <x:c r="A19" s="8"/>
      <x:c r="B19" s="9" t="s">
        <x:v>157</x:v>
      </x:c>
      <x:c r="C19" s="7" t="str">
        <x:v>óra</x:v>
      </x:c>
      <x:c r="D19" s="16" t="n">
        <x:v>1.5</x:v>
      </x:c>
      <x:c r="E19" s="17" t="n">
        <x:f aca="0">E$7</x:f>
        <x:v>0</x:v>
      </x:c>
      <x:c r="F19" s="17" t="n">
        <x:f aca="0">D19*E19</x:f>
        <x:v>0</x:v>
      </x:c>
      <x:c r="G19" s="10"/>
      <x:c r="H19" s="17" t="n">
        <x:f aca="0">F19*G19</x:f>
        <x:v>0</x:v>
      </x:c>
      <x:c r="I19" s="9" t="str">
        <x:v>Munkaerő</x:v>
      </x:c>
      <x:c r="J19" s="9" t="s">
        <x:v>158</x:v>
      </x:c>
    </x:row>
    <x:row r="20" ht="15" hidden="0">
      <x:c r="A20" s="8"/>
      <x:c r="B20" s="9" t="s">
        <x:v>159</x:v>
      </x:c>
      <x:c r="C20" s="7" t="str">
        <x:v>óra</x:v>
      </x:c>
      <x:c r="D20" s="16" t="n">
        <x:v>0.75</x:v>
      </x:c>
      <x:c r="E20" s="17" t="n">
        <x:f aca="0">E$7</x:f>
        <x:v>0</x:v>
      </x:c>
      <x:c r="F20" s="17" t="n">
        <x:f aca="0">D20*E20</x:f>
        <x:v>0</x:v>
      </x:c>
      <x:c r="G20" s="10"/>
      <x:c r="H20" s="17" t="n">
        <x:f aca="0">F20*G20</x:f>
        <x:v>0</x:v>
      </x:c>
      <x:c r="I20" s="9" t="str">
        <x:v>Munkaerő</x:v>
      </x:c>
      <x:c r="J20" s="9" t="str">
        <x:v>Post-burkolólap stage</x:v>
      </x:c>
    </x:row>
    <x:row r="21" ht="15" hidden="0">
      <x:c r="A21" s="8"/>
      <x:c r="B21" s="9" t="s">
        <x:v>160</x:v>
      </x:c>
      <x:c r="C21" s="7" t="str">
        <x:v>óra</x:v>
      </x:c>
      <x:c r="D21" s="16" t="n">
        <x:v>0.25</x:v>
      </x:c>
      <x:c r="E21" s="17" t="n">
        <x:f aca="0">E$7</x:f>
        <x:v>0</x:v>
      </x:c>
      <x:c r="F21" s="17" t="n">
        <x:f aca="0">D21*E21</x:f>
        <x:v>0</x:v>
      </x:c>
      <x:c r="G21" s="10"/>
      <x:c r="H21" s="17" t="n">
        <x:f aca="0">F21*G21</x:f>
        <x:v>0</x:v>
      </x:c>
      <x:c r="I21" s="9" t="str">
        <x:v>Munkaerő</x:v>
      </x:c>
      <x:c r="J21" s="9"/>
    </x:row>
    <x:row r="22" ht="15" hidden="0">
      <x:c r="A22" s="18"/>
      <x:c r="B22" s="19" t="s">
        <x:v>161</x:v>
      </x:c>
      <x:c r="C22" s="18"/>
      <x:c r="D22" s="18"/>
      <x:c r="E22" s="18"/>
      <x:c r="F22" s="18"/>
      <x:c r="G22" s="18"/>
      <x:c r="H22" s="20" t="n">
        <x:f aca="0">SUM(H7:H21)</x:f>
        <x:v>0</x:v>
      </x:c>
      <x:c r="I22" s="18"/>
      <x:c r="J22" s="18"/>
    </x:row>
    <x:row r="24" ht="15" hidden="0">
      <x:c r="J24" s="13" t="str">
        <x:v>Mennyiségfelvétel hivatkozás 1.2</x:v>
      </x:c>
    </x:row>
    <x:row r="25" ht="15" hidden="0">
      <x:c r="A25" s="14" t="s">
        <x:v>155</x:v>
      </x:c>
      <x:c r="B25" s="15" t="str">
        <x:v>WC-csésze - fali kivitelű (falba épített öblítőtartály)</x:v>
      </x:c>
      <x:c r="C25" s="7" t="str">
        <x:v>db</x:v>
      </x:c>
      <x:c r="D25" s="16" t="n">
        <x:v>1</x:v>
      </x:c>
      <x:c r="E25" s="11" t="n">
        <x:f aca="0">'Plumbing QTO'!M12</x:f>
        <x:v>0</x:v>
      </x:c>
      <x:c r="F25" s="17" t="n">
        <x:f aca="0">D25*E25</x:f>
        <x:v>0</x:v>
      </x:c>
      <x:c r="G25" s="10"/>
      <x:c r="H25" s="17" t="n">
        <x:f aca="0">F25*G25</x:f>
        <x:v>0</x:v>
      </x:c>
      <x:c r="I25" s="9" t="str">
        <x:v>Víz-csatorna</x:v>
      </x:c>
      <x:c r="J25" s="9" t="str">
        <x:v>csak anyagellátás</x:v>
      </x:c>
    </x:row>
    <x:row r="26" ht="15" hidden="0">
      <x:c r="A26" s="8"/>
      <x:c r="B26" s="9" t="str">
        <x:v>falba épített acél tok / keret (Geberit/equiv)</x:v>
      </x:c>
      <x:c r="C26" s="7" t="str">
        <x:v>db</x:v>
      </x:c>
      <x:c r="D26" s="16" t="n">
        <x:v>1</x:v>
      </x:c>
      <x:c r="E26" s="17" t="n">
        <x:f aca="0">E$25</x:f>
        <x:v>0</x:v>
      </x:c>
      <x:c r="F26" s="17" t="n">
        <x:f aca="0">D26*E26</x:f>
        <x:v>0</x:v>
      </x:c>
      <x:c r="G26" s="10"/>
      <x:c r="H26" s="17" t="n">
        <x:f aca="0">F26*G26</x:f>
        <x:v>0</x:v>
      </x:c>
      <x:c r="I26" s="9" t="str">
        <x:v>Víz-csatorna</x:v>
      </x:c>
      <x:c r="J26" s="9" t="s">
        <x:v>162</x:v>
      </x:c>
    </x:row>
    <x:row r="27" ht="15" hidden="0">
      <x:c r="A27" s="8"/>
      <x:c r="B27" s="9" t="str">
        <x:v>falba épített öblítőtartály (in tok / keret)</x:v>
      </x:c>
      <x:c r="C27" s="7" t="str">
        <x:v>db</x:v>
      </x:c>
      <x:c r="D27" s="16" t="n">
        <x:v>1</x:v>
      </x:c>
      <x:c r="E27" s="17" t="n">
        <x:f aca="0">E$25</x:f>
        <x:v>0</x:v>
      </x:c>
      <x:c r="F27" s="17" t="n">
        <x:f aca="0">D27*E27</x:f>
        <x:v>0</x:v>
      </x:c>
      <x:c r="G27" s="10"/>
      <x:c r="H27" s="17" t="n">
        <x:f aca="0">F27*G27</x:f>
        <x:v>0</x:v>
      </x:c>
      <x:c r="I27" s="9" t="str">
        <x:v>Víz-csatorna</x:v>
      </x:c>
      <x:c r="J27" s="9"/>
    </x:row>
    <x:row r="28" ht="15" hidden="0">
      <x:c r="A28" s="8"/>
      <x:c r="B28" s="9" t="str">
        <x:v>öblítés plate</x:v>
      </x:c>
      <x:c r="C28" s="7" t="str">
        <x:v>db</x:v>
      </x:c>
      <x:c r="D28" s="16" t="n">
        <x:v>1</x:v>
      </x:c>
      <x:c r="E28" s="17" t="n">
        <x:f aca="0">E$25</x:f>
        <x:v>0</x:v>
      </x:c>
      <x:c r="F28" s="17" t="n">
        <x:f aca="0">D28*E28</x:f>
        <x:v>0</x:v>
      </x:c>
      <x:c r="G28" s="10"/>
      <x:c r="H28" s="17" t="n">
        <x:f aca="0">F28*G28</x:f>
        <x:v>0</x:v>
      </x:c>
      <x:c r="I28" s="9" t="str">
        <x:v>Víz-csatorna</x:v>
      </x:c>
      <x:c r="J28" s="9" t="s">
        <x:v>163</x:v>
      </x:c>
    </x:row>
    <x:row r="29" ht="15" hidden="0">
      <x:c r="A29" s="8"/>
      <x:c r="B29" s="9" t="s">
        <x:v>31</x:v>
      </x:c>
      <x:c r="C29" s="7" t="str">
        <x:v>db</x:v>
      </x:c>
      <x:c r="D29" s="16" t="n">
        <x:v>1</x:v>
      </x:c>
      <x:c r="E29" s="17" t="n">
        <x:f aca="0">E$25</x:f>
        <x:v>0</x:v>
      </x:c>
      <x:c r="F29" s="17" t="n">
        <x:f aca="0">D29*E29</x:f>
        <x:v>0</x:v>
      </x:c>
      <x:c r="G29" s="10"/>
      <x:c r="H29" s="17" t="n">
        <x:f aca="0">F29*G29</x:f>
        <x:v>0</x:v>
      </x:c>
      <x:c r="I29" s="9" t="str">
        <x:v>Víz-csatorna</x:v>
      </x:c>
      <x:c r="J29" s="9"/>
    </x:row>
    <x:row r="30" ht="15" hidden="0">
      <x:c r="A30" s="8"/>
      <x:c r="B30" s="9" t="str">
        <x:v>WC bekötő idom</x:v>
      </x:c>
      <x:c r="C30" s="7" t="str">
        <x:v>db</x:v>
      </x:c>
      <x:c r="D30" s="16" t="n">
        <x:v>1</x:v>
      </x:c>
      <x:c r="E30" s="17" t="n">
        <x:f aca="0">E$25</x:f>
        <x:v>0</x:v>
      </x:c>
      <x:c r="F30" s="17" t="n">
        <x:f aca="0">D30*E30</x:f>
        <x:v>0</x:v>
      </x:c>
      <x:c r="G30" s="10"/>
      <x:c r="H30" s="17" t="n">
        <x:f aca="0">F30*G30</x:f>
        <x:v>0</x:v>
      </x:c>
      <x:c r="I30" s="9" t="str">
        <x:v>Víz-csatorna</x:v>
      </x:c>
      <x:c r="J30" s="9"/>
    </x:row>
    <x:row r="31" ht="15" hidden="0">
      <x:c r="A31" s="8"/>
      <x:c r="B31" s="9" t="str">
        <x:v>öblítőtartály inlet connector + isolation</x:v>
      </x:c>
      <x:c r="C31" s="7" t="str">
        <x:v>klt.</x:v>
      </x:c>
      <x:c r="D31" s="16" t="n">
        <x:v>1</x:v>
      </x:c>
      <x:c r="E31" s="17" t="n">
        <x:f aca="0">E$25</x:f>
        <x:v>0</x:v>
      </x:c>
      <x:c r="F31" s="17" t="n">
        <x:f aca="0">D31*E31</x:f>
        <x:v>0</x:v>
      </x:c>
      <x:c r="G31" s="10"/>
      <x:c r="H31" s="17" t="n">
        <x:f aca="0">F31*G31</x:f>
        <x:v>0</x:v>
      </x:c>
      <x:c r="I31" s="9" t="str">
        <x:v>Víz-csatorna</x:v>
      </x:c>
      <x:c r="J31" s="9"/>
    </x:row>
    <x:row r="32" ht="15" hidden="0">
      <x:c r="A32" s="8"/>
      <x:c r="B32" s="9" t="str">
        <x:v>Wall fixing kit (tok / keret - studs)</x:v>
      </x:c>
      <x:c r="C32" s="7" t="str">
        <x:v>klt.</x:v>
      </x:c>
      <x:c r="D32" s="16" t="n">
        <x:v>1</x:v>
      </x:c>
      <x:c r="E32" s="17" t="n">
        <x:f aca="0">E$25</x:f>
        <x:v>0</x:v>
      </x:c>
      <x:c r="F32" s="17" t="n">
        <x:f aca="0">D32*E32</x:f>
        <x:v>0</x:v>
      </x:c>
      <x:c r="G32" s="10"/>
      <x:c r="H32" s="17" t="n">
        <x:f aca="0">F32*G32</x:f>
        <x:v>0</x:v>
      </x:c>
      <x:c r="I32" s="9" t="str">
        <x:v>Víz-csatorna</x:v>
      </x:c>
      <x:c r="J32" s="9"/>
    </x:row>
    <x:row r="33" ht="15" hidden="0">
      <x:c r="A33" s="8"/>
      <x:c r="B33" s="9" t="str">
        <x:v>Branch waste cső (PVC DN100)</x:v>
      </x:c>
      <x:c r="C33" s="7" t="str">
        <x:v>fm</x:v>
      </x:c>
      <x:c r="D33" s="16" t="n">
        <x:v>2</x:v>
      </x:c>
      <x:c r="E33" s="17" t="n">
        <x:f aca="0">E$25</x:f>
        <x:v>0</x:v>
      </x:c>
      <x:c r="F33" s="17" t="n">
        <x:f aca="0">D33*E33</x:f>
        <x:v>0</x:v>
      </x:c>
      <x:c r="G33" s="10"/>
      <x:c r="H33" s="17" t="n">
        <x:f aca="0">F33*G33</x:f>
        <x:v>0</x:v>
      </x:c>
      <x:c r="I33" s="9" t="str">
        <x:v>Víz-csatorna</x:v>
      </x:c>
      <x:c r="J33" s="9"/>
    </x:row>
    <x:row r="34" ht="15" hidden="0">
      <x:c r="A34" s="8"/>
      <x:c r="B34" s="9" t="str">
        <x:v>hidegvíz branch (DN15)</x:v>
      </x:c>
      <x:c r="C34" s="7" t="str">
        <x:v>fm</x:v>
      </x:c>
      <x:c r="D34" s="16" t="n">
        <x:v>2</x:v>
      </x:c>
      <x:c r="E34" s="17" t="n">
        <x:f aca="0">E$25</x:f>
        <x:v>0</x:v>
      </x:c>
      <x:c r="F34" s="17" t="n">
        <x:f aca="0">D34*E34</x:f>
        <x:v>0</x:v>
      </x:c>
      <x:c r="G34" s="10"/>
      <x:c r="H34" s="17" t="n">
        <x:f aca="0">F34*G34</x:f>
        <x:v>0</x:v>
      </x:c>
      <x:c r="I34" s="9" t="str">
        <x:v>Víz-csatorna</x:v>
      </x:c>
      <x:c r="J34" s="9"/>
    </x:row>
    <x:row r="35" ht="15" hidden="0">
      <x:c r="A35" s="8"/>
      <x:c r="B35" s="9" t="str">
        <x:v>cső idomok</x:v>
      </x:c>
      <x:c r="C35" s="7" t="str">
        <x:v>db</x:v>
      </x:c>
      <x:c r="D35" s="16" t="n">
        <x:v>4</x:v>
      </x:c>
      <x:c r="E35" s="17" t="n">
        <x:f aca="0">E$25</x:f>
        <x:v>0</x:v>
      </x:c>
      <x:c r="F35" s="17" t="n">
        <x:f aca="0">D35*E35</x:f>
        <x:v>0</x:v>
      </x:c>
      <x:c r="G35" s="10"/>
      <x:c r="H35" s="17" t="n">
        <x:f aca="0">F35*G35</x:f>
        <x:v>0</x:v>
      </x:c>
      <x:c r="I35" s="9" t="str">
        <x:v>Víz-csatorna</x:v>
      </x:c>
      <x:c r="J35" s="9"/>
    </x:row>
    <x:row r="36" ht="15" hidden="0">
      <x:c r="A36" s="8"/>
      <x:c r="B36" s="9" t="str">
        <x:v>cső hangers / clips</x:v>
      </x:c>
      <x:c r="C36" s="7" t="str">
        <x:v>db</x:v>
      </x:c>
      <x:c r="D36" s="16" t="n">
        <x:v>4</x:v>
      </x:c>
      <x:c r="E36" s="17" t="n">
        <x:f aca="0">E$25</x:f>
        <x:v>0</x:v>
      </x:c>
      <x:c r="F36" s="17" t="n">
        <x:f aca="0">D36*E36</x:f>
        <x:v>0</x:v>
      </x:c>
      <x:c r="G36" s="10"/>
      <x:c r="H36" s="17" t="n">
        <x:f aca="0">F36*G36</x:f>
        <x:v>0</x:v>
      </x:c>
      <x:c r="I36" s="9" t="str">
        <x:v>Víz-csatorna</x:v>
      </x:c>
      <x:c r="J36" s="9"/>
    </x:row>
    <x:row r="37" ht="15" hidden="0">
      <x:c r="A37" s="8"/>
      <x:c r="B37" s="9" t="str">
        <x:v>szilikon tömítőanyag</x:v>
      </x:c>
      <x:c r="C37" s="7" t="str">
        <x:v>tubus</x:v>
      </x:c>
      <x:c r="D37" s="16" t="n">
        <x:v>0.25</x:v>
      </x:c>
      <x:c r="E37" s="17" t="n">
        <x:f aca="0">E$25</x:f>
        <x:v>0</x:v>
      </x:c>
      <x:c r="F37" s="17" t="n">
        <x:f aca="0">D37*E37</x:f>
        <x:v>0</x:v>
      </x:c>
      <x:c r="G37" s="10"/>
      <x:c r="H37" s="17" t="n">
        <x:f aca="0">F37*G37</x:f>
        <x:v>0</x:v>
      </x:c>
      <x:c r="I37" s="9" t="str">
        <x:v>Víz-csatorna</x:v>
      </x:c>
      <x:c r="J37" s="9"/>
    </x:row>
    <x:row r="38" ht="15" hidden="0">
      <x:c r="A38" s="8"/>
      <x:c r="B38" s="9" t="str">
        <x:v>Labour - plumber rough-in (incl tok / keret)</x:v>
      </x:c>
      <x:c r="C38" s="7" t="str">
        <x:v>óra</x:v>
      </x:c>
      <x:c r="D38" s="16" t="n">
        <x:v>2.5</x:v>
      </x:c>
      <x:c r="E38" s="17" t="n">
        <x:f aca="0">E$25</x:f>
        <x:v>0</x:v>
      </x:c>
      <x:c r="F38" s="17" t="n">
        <x:f aca="0">D38*E38</x:f>
        <x:v>0</x:v>
      </x:c>
      <x:c r="G38" s="10"/>
      <x:c r="H38" s="17" t="n">
        <x:f aca="0">F38*G38</x:f>
        <x:v>0</x:v>
      </x:c>
      <x:c r="I38" s="9" t="str">
        <x:v>Munkaerő</x:v>
      </x:c>
      <x:c r="J38" s="9" t="str">
        <x:v>Slower than padló-mount</x:v>
      </x:c>
    </x:row>
    <x:row r="39" ht="15" hidden="0">
      <x:c r="A39" s="8"/>
      <x:c r="B39" s="9" t="s">
        <x:v>159</x:v>
      </x:c>
      <x:c r="C39" s="7" t="str">
        <x:v>óra</x:v>
      </x:c>
      <x:c r="D39" s="16" t="n">
        <x:v>1</x:v>
      </x:c>
      <x:c r="E39" s="17" t="n">
        <x:f aca="0">E$25</x:f>
        <x:v>0</x:v>
      </x:c>
      <x:c r="F39" s="17" t="n">
        <x:f aca="0">D39*E39</x:f>
        <x:v>0</x:v>
      </x:c>
      <x:c r="G39" s="10"/>
      <x:c r="H39" s="17" t="n">
        <x:f aca="0">F39*G39</x:f>
        <x:v>0</x:v>
      </x:c>
      <x:c r="I39" s="9" t="str">
        <x:v>Munkaerő</x:v>
      </x:c>
      <x:c r="J39" s="9"/>
    </x:row>
    <x:row r="40" ht="15" hidden="0">
      <x:c r="A40" s="8"/>
      <x:c r="B40" s="9" t="s">
        <x:v>160</x:v>
      </x:c>
      <x:c r="C40" s="7" t="str">
        <x:v>óra</x:v>
      </x:c>
      <x:c r="D40" s="16" t="n">
        <x:v>0.25</x:v>
      </x:c>
      <x:c r="E40" s="17" t="n">
        <x:f aca="0">E$25</x:f>
        <x:v>0</x:v>
      </x:c>
      <x:c r="F40" s="17" t="n">
        <x:f aca="0">D40*E40</x:f>
        <x:v>0</x:v>
      </x:c>
      <x:c r="G40" s="10"/>
      <x:c r="H40" s="17" t="n">
        <x:f aca="0">F40*G40</x:f>
        <x:v>0</x:v>
      </x:c>
      <x:c r="I40" s="9" t="str">
        <x:v>Munkaerő</x:v>
      </x:c>
      <x:c r="J40" s="9"/>
    </x:row>
    <x:row r="41" ht="15" hidden="0">
      <x:c r="A41" s="18"/>
      <x:c r="B41" s="19" t="s">
        <x:v>164</x:v>
      </x:c>
      <x:c r="C41" s="18"/>
      <x:c r="D41" s="18"/>
      <x:c r="E41" s="18"/>
      <x:c r="F41" s="18"/>
      <x:c r="G41" s="18"/>
      <x:c r="H41" s="20" t="n">
        <x:f aca="0">SUM(H25:H40)</x:f>
        <x:v>0</x:v>
      </x:c>
      <x:c r="I41" s="18"/>
      <x:c r="J41" s="18"/>
    </x:row>
    <x:row r="43" ht="15" hidden="0">
      <x:c r="J43" s="13" t="s">
        <x:v>165</x:v>
      </x:c>
    </x:row>
    <x:row r="44" ht="15" hidden="0">
      <x:c r="A44" s="14" t="s">
        <x:v>155</x:v>
      </x:c>
      <x:c r="B44" s="15" t="str">
        <x:v>mosdó - fali kivitelű (szaniter porcelán)</x:v>
      </x:c>
      <x:c r="C44" s="7" t="str">
        <x:v>db</x:v>
      </x:c>
      <x:c r="D44" s="16" t="n">
        <x:v>1</x:v>
      </x:c>
      <x:c r="E44" s="11" t="n">
        <x:f aca="0">'Plumbing QTO'!M16</x:f>
        <x:v>0</x:v>
      </x:c>
      <x:c r="F44" s="17" t="n">
        <x:f aca="0">D44*E44</x:f>
        <x:v>0</x:v>
      </x:c>
      <x:c r="G44" s="10"/>
      <x:c r="H44" s="17" t="n">
        <x:f aca="0">F44*G44</x:f>
        <x:v>0</x:v>
      </x:c>
      <x:c r="I44" s="9" t="str">
        <x:v>Víz-csatorna</x:v>
      </x:c>
      <x:c r="J44" s="9" t="str">
        <x:v>csak anyagellátás</x:v>
      </x:c>
    </x:row>
    <x:row r="45" ht="15" hidden="0">
      <x:c r="A45" s="8"/>
      <x:c r="B45" s="9" t="s">
        <x:v>166</x:v>
      </x:c>
      <x:c r="C45" s="7" t="str">
        <x:v>klt.</x:v>
      </x:c>
      <x:c r="D45" s="16" t="n">
        <x:v>1</x:v>
      </x:c>
      <x:c r="E45" s="17" t="n">
        <x:f aca="0">E$44</x:f>
        <x:v>0</x:v>
      </x:c>
      <x:c r="F45" s="17" t="n">
        <x:f aca="0">D45*E45</x:f>
        <x:v>0</x:v>
      </x:c>
      <x:c r="G45" s="10"/>
      <x:c r="H45" s="17" t="n">
        <x:f aca="0">F45*G45</x:f>
        <x:v>0</x:v>
      </x:c>
      <x:c r="I45" s="9" t="str">
        <x:v>Víz-csatorna</x:v>
      </x:c>
      <x:c r="J45" s="9"/>
    </x:row>
    <x:row r="46" ht="15" hidden="0">
      <x:c r="A46" s="8"/>
      <x:c r="B46" s="9" t="str">
        <x:v>mosdó mixer or tap set</x:v>
      </x:c>
      <x:c r="C46" s="7" t="str">
        <x:v>db</x:v>
      </x:c>
      <x:c r="D46" s="16" t="n">
        <x:v>1</x:v>
      </x:c>
      <x:c r="E46" s="17" t="n">
        <x:f aca="0">E$44</x:f>
        <x:v>0</x:v>
      </x:c>
      <x:c r="F46" s="17" t="n">
        <x:f aca="0">D46*E46</x:f>
        <x:v>0</x:v>
      </x:c>
      <x:c r="G46" s="10"/>
      <x:c r="H46" s="17" t="n">
        <x:f aca="0">F46*G46</x:f>
        <x:v>0</x:v>
      </x:c>
      <x:c r="I46" s="9" t="str">
        <x:v>Víz-csatorna</x:v>
      </x:c>
      <x:c r="J46" s="9" t="s">
        <x:v>167</x:v>
      </x:c>
    </x:row>
    <x:row r="47" ht="15" hidden="0">
      <x:c r="A47" s="8"/>
      <x:c r="B47" s="9" t="s">
        <x:v>168</x:v>
      </x:c>
      <x:c r="C47" s="7" t="str">
        <x:v>db</x:v>
      </x:c>
      <x:c r="D47" s="16" t="n">
        <x:v>1</x:v>
      </x:c>
      <x:c r="E47" s="17" t="n">
        <x:f aca="0">E$44</x:f>
        <x:v>0</x:v>
      </x:c>
      <x:c r="F47" s="17" t="n">
        <x:f aca="0">D47*E47</x:f>
        <x:v>0</x:v>
      </x:c>
      <x:c r="G47" s="10"/>
      <x:c r="H47" s="17" t="n">
        <x:f aca="0">F47*G47</x:f>
        <x:v>0</x:v>
      </x:c>
      <x:c r="I47" s="9" t="str">
        <x:v>Víz-csatorna</x:v>
      </x:c>
      <x:c r="J47" s="9"/>
    </x:row>
    <x:row r="48" ht="15" hidden="0">
      <x:c r="A48" s="8"/>
      <x:c r="B48" s="9" t="s">
        <x:v>169</x:v>
      </x:c>
      <x:c r="C48" s="7" t="str">
        <x:v>db</x:v>
      </x:c>
      <x:c r="D48" s="16" t="n">
        <x:v>1</x:v>
      </x:c>
      <x:c r="E48" s="17" t="n">
        <x:f aca="0">E$44</x:f>
        <x:v>0</x:v>
      </x:c>
      <x:c r="F48" s="17" t="n">
        <x:f aca="0">D48*E48</x:f>
        <x:v>0</x:v>
      </x:c>
      <x:c r="G48" s="10"/>
      <x:c r="H48" s="17" t="n">
        <x:f aca="0">F48*G48</x:f>
        <x:v>0</x:v>
      </x:c>
      <x:c r="I48" s="9" t="str">
        <x:v>Víz-csatorna</x:v>
      </x:c>
      <x:c r="J48" s="9"/>
    </x:row>
    <x:row r="49" ht="15" hidden="0">
      <x:c r="A49" s="8"/>
      <x:c r="B49" s="9" t="str">
        <x:v>flexibilis connectors (hot &amp; cold)</x:v>
      </x:c>
      <x:c r="C49" s="7" t="str">
        <x:v>pár</x:v>
      </x:c>
      <x:c r="D49" s="16" t="n">
        <x:v>1</x:v>
      </x:c>
      <x:c r="E49" s="17" t="n">
        <x:f aca="0">E$44</x:f>
        <x:v>0</x:v>
      </x:c>
      <x:c r="F49" s="17" t="n">
        <x:f aca="0">D49*E49</x:f>
        <x:v>0</x:v>
      </x:c>
      <x:c r="G49" s="10"/>
      <x:c r="H49" s="17" t="n">
        <x:f aca="0">F49*G49</x:f>
        <x:v>0</x:v>
      </x:c>
      <x:c r="I49" s="9" t="str">
        <x:v>Víz-csatorna</x:v>
      </x:c>
      <x:c r="J49" s="9"/>
    </x:row>
    <x:row r="50" ht="15" hidden="0">
      <x:c r="A50" s="8"/>
      <x:c r="B50" s="9" t="s">
        <x:v>170</x:v>
      </x:c>
      <x:c r="C50" s="7" t="str">
        <x:v>pár</x:v>
      </x:c>
      <x:c r="D50" s="16" t="n">
        <x:v>1</x:v>
      </x:c>
      <x:c r="E50" s="17" t="n">
        <x:f aca="0">E$44</x:f>
        <x:v>0</x:v>
      </x:c>
      <x:c r="F50" s="17" t="n">
        <x:f aca="0">D50*E50</x:f>
        <x:v>0</x:v>
      </x:c>
      <x:c r="G50" s="10"/>
      <x:c r="H50" s="17" t="n">
        <x:f aca="0">F50*G50</x:f>
        <x:v>0</x:v>
      </x:c>
      <x:c r="I50" s="9" t="str">
        <x:v>Víz-csatorna</x:v>
      </x:c>
      <x:c r="J50" s="9"/>
    </x:row>
    <x:row r="51" ht="15" hidden="0">
      <x:c r="A51" s="8"/>
      <x:c r="B51" s="9" t="str">
        <x:v>Branch waste cső (PVC DN50)</x:v>
      </x:c>
      <x:c r="C51" s="7" t="str">
        <x:v>fm</x:v>
      </x:c>
      <x:c r="D51" s="16" t="n">
        <x:v>2</x:v>
      </x:c>
      <x:c r="E51" s="17" t="n">
        <x:f aca="0">E$44</x:f>
        <x:v>0</x:v>
      </x:c>
      <x:c r="F51" s="17" t="n">
        <x:f aca="0">D51*E51</x:f>
        <x:v>0</x:v>
      </x:c>
      <x:c r="G51" s="10"/>
      <x:c r="H51" s="17" t="n">
        <x:f aca="0">F51*G51</x:f>
        <x:v>0</x:v>
      </x:c>
      <x:c r="I51" s="9" t="str">
        <x:v>Víz-csatorna</x:v>
      </x:c>
      <x:c r="J51" s="9" t="s">
        <x:v>156</x:v>
      </x:c>
    </x:row>
    <x:row r="52" ht="15" hidden="0">
      <x:c r="A52" s="8"/>
      <x:c r="B52" s="9" t="str">
        <x:v>hidegvíz branch (DN15)</x:v>
      </x:c>
      <x:c r="C52" s="7" t="str">
        <x:v>fm</x:v>
      </x:c>
      <x:c r="D52" s="16" t="n">
        <x:v>2</x:v>
      </x:c>
      <x:c r="E52" s="17" t="n">
        <x:f aca="0">E$44</x:f>
        <x:v>0</x:v>
      </x:c>
      <x:c r="F52" s="17" t="n">
        <x:f aca="0">D52*E52</x:f>
        <x:v>0</x:v>
      </x:c>
      <x:c r="G52" s="10"/>
      <x:c r="H52" s="17" t="n">
        <x:f aca="0">F52*G52</x:f>
        <x:v>0</x:v>
      </x:c>
      <x:c r="I52" s="9" t="str">
        <x:v>Víz-csatorna</x:v>
      </x:c>
      <x:c r="J52" s="9"/>
    </x:row>
    <x:row r="53" ht="15" hidden="0">
      <x:c r="A53" s="8"/>
      <x:c r="B53" s="9" t="str">
        <x:v>melegvíz branch (DN15)</x:v>
      </x:c>
      <x:c r="C53" s="7" t="str">
        <x:v>fm</x:v>
      </x:c>
      <x:c r="D53" s="16" t="n">
        <x:v>2</x:v>
      </x:c>
      <x:c r="E53" s="17" t="n">
        <x:f aca="0">E$44</x:f>
        <x:v>0</x:v>
      </x:c>
      <x:c r="F53" s="17" t="n">
        <x:f aca="0">D53*E53</x:f>
        <x:v>0</x:v>
      </x:c>
      <x:c r="G53" s="10"/>
      <x:c r="H53" s="17" t="n">
        <x:f aca="0">F53*G53</x:f>
        <x:v>0</x:v>
      </x:c>
      <x:c r="I53" s="9" t="str">
        <x:v>Víz-csatorna</x:v>
      </x:c>
      <x:c r="J53" s="9"/>
    </x:row>
    <x:row r="54" ht="15" hidden="0">
      <x:c r="A54" s="8"/>
      <x:c r="B54" s="9" t="str">
        <x:v>cső idomok</x:v>
      </x:c>
      <x:c r="C54" s="7" t="str">
        <x:v>db</x:v>
      </x:c>
      <x:c r="D54" s="16" t="n">
        <x:v>6</x:v>
      </x:c>
      <x:c r="E54" s="17" t="n">
        <x:f aca="0">E$44</x:f>
        <x:v>0</x:v>
      </x:c>
      <x:c r="F54" s="17" t="n">
        <x:f aca="0">D54*E54</x:f>
        <x:v>0</x:v>
      </x:c>
      <x:c r="G54" s="10"/>
      <x:c r="H54" s="17" t="n">
        <x:f aca="0">F54*G54</x:f>
        <x:v>0</x:v>
      </x:c>
      <x:c r="I54" s="9" t="str">
        <x:v>Víz-csatorna</x:v>
      </x:c>
      <x:c r="J54" s="9"/>
    </x:row>
    <x:row r="55" ht="15" hidden="0">
      <x:c r="A55" s="8"/>
      <x:c r="B55" s="9" t="str">
        <x:v>cső hangers / clips</x:v>
      </x:c>
      <x:c r="C55" s="7" t="str">
        <x:v>db</x:v>
      </x:c>
      <x:c r="D55" s="16" t="n">
        <x:v>6</x:v>
      </x:c>
      <x:c r="E55" s="17" t="n">
        <x:f aca="0">E$44</x:f>
        <x:v>0</x:v>
      </x:c>
      <x:c r="F55" s="17" t="n">
        <x:f aca="0">D55*E55</x:f>
        <x:v>0</x:v>
      </x:c>
      <x:c r="G55" s="10"/>
      <x:c r="H55" s="17" t="n">
        <x:f aca="0">F55*G55</x:f>
        <x:v>0</x:v>
      </x:c>
      <x:c r="I55" s="9" t="str">
        <x:v>Víz-csatorna</x:v>
      </x:c>
      <x:c r="J55" s="9"/>
    </x:row>
    <x:row r="56" ht="15" hidden="0">
      <x:c r="A56" s="8"/>
      <x:c r="B56" s="9" t="str">
        <x:v>szilikon tömítőanyag</x:v>
      </x:c>
      <x:c r="C56" s="7" t="str">
        <x:v>tubus</x:v>
      </x:c>
      <x:c r="D56" s="16" t="n">
        <x:v>0.25</x:v>
      </x:c>
      <x:c r="E56" s="17" t="n">
        <x:f aca="0">E$44</x:f>
        <x:v>0</x:v>
      </x:c>
      <x:c r="F56" s="17" t="n">
        <x:f aca="0">D56*E56</x:f>
        <x:v>0</x:v>
      </x:c>
      <x:c r="G56" s="10"/>
      <x:c r="H56" s="17" t="n">
        <x:f aca="0">F56*G56</x:f>
        <x:v>0</x:v>
      </x:c>
      <x:c r="I56" s="9" t="str">
        <x:v>Víz-csatorna</x:v>
      </x:c>
      <x:c r="J56" s="9"/>
    </x:row>
    <x:row r="57" ht="15" hidden="0">
      <x:c r="A57" s="8"/>
      <x:c r="B57" s="9" t="s">
        <x:v>157</x:v>
      </x:c>
      <x:c r="C57" s="7" t="str">
        <x:v>óra</x:v>
      </x:c>
      <x:c r="D57" s="16" t="n">
        <x:v>1.25</x:v>
      </x:c>
      <x:c r="E57" s="17" t="n">
        <x:f aca="0">E$44</x:f>
        <x:v>0</x:v>
      </x:c>
      <x:c r="F57" s="17" t="n">
        <x:f aca="0">D57*E57</x:f>
        <x:v>0</x:v>
      </x:c>
      <x:c r="G57" s="10"/>
      <x:c r="H57" s="17" t="n">
        <x:f aca="0">F57*G57</x:f>
        <x:v>0</x:v>
      </x:c>
      <x:c r="I57" s="9" t="str">
        <x:v>Munkaerő</x:v>
      </x:c>
      <x:c r="J57" s="9"/>
    </x:row>
    <x:row r="58" ht="15" hidden="0">
      <x:c r="A58" s="8"/>
      <x:c r="B58" s="9" t="s">
        <x:v>159</x:v>
      </x:c>
      <x:c r="C58" s="7" t="str">
        <x:v>óra</x:v>
      </x:c>
      <x:c r="D58" s="16" t="n">
        <x:v>0.75</x:v>
      </x:c>
      <x:c r="E58" s="17" t="n">
        <x:f aca="0">E$44</x:f>
        <x:v>0</x:v>
      </x:c>
      <x:c r="F58" s="17" t="n">
        <x:f aca="0">D58*E58</x:f>
        <x:v>0</x:v>
      </x:c>
      <x:c r="G58" s="10"/>
      <x:c r="H58" s="17" t="n">
        <x:f aca="0">F58*G58</x:f>
        <x:v>0</x:v>
      </x:c>
      <x:c r="I58" s="9" t="str">
        <x:v>Munkaerő</x:v>
      </x:c>
      <x:c r="J58" s="9"/>
    </x:row>
    <x:row r="59" ht="15" hidden="0">
      <x:c r="A59" s="8"/>
      <x:c r="B59" s="9" t="s">
        <x:v>171</x:v>
      </x:c>
      <x:c r="C59" s="7" t="str">
        <x:v>óra</x:v>
      </x:c>
      <x:c r="D59" s="16" t="n">
        <x:v>0.2</x:v>
      </x:c>
      <x:c r="E59" s="17" t="n">
        <x:f aca="0">E$44</x:f>
        <x:v>0</x:v>
      </x:c>
      <x:c r="F59" s="17" t="n">
        <x:f aca="0">D59*E59</x:f>
        <x:v>0</x:v>
      </x:c>
      <x:c r="G59" s="10"/>
      <x:c r="H59" s="17" t="n">
        <x:f aca="0">F59*G59</x:f>
        <x:v>0</x:v>
      </x:c>
      <x:c r="I59" s="9" t="str">
        <x:v>Munkaerő</x:v>
      </x:c>
      <x:c r="J59" s="9"/>
    </x:row>
    <x:row r="60" ht="15" hidden="0">
      <x:c r="A60" s="18"/>
      <x:c r="B60" s="19" t="s">
        <x:v>172</x:v>
      </x:c>
      <x:c r="C60" s="18"/>
      <x:c r="D60" s="18"/>
      <x:c r="E60" s="18"/>
      <x:c r="F60" s="18"/>
      <x:c r="G60" s="18"/>
      <x:c r="H60" s="20" t="n">
        <x:f aca="0">SUM(H44:H59)</x:f>
        <x:v>0</x:v>
      </x:c>
      <x:c r="I60" s="18"/>
      <x:c r="J60" s="18"/>
    </x:row>
    <x:row r="62" ht="15" hidden="0">
      <x:c r="J62" s="13" t="s">
        <x:v>173</x:v>
      </x:c>
    </x:row>
    <x:row r="63" ht="15" hidden="0">
      <x:c r="A63" s="14" t="s">
        <x:v>155</x:v>
      </x:c>
      <x:c r="B63" s="15" t="str">
        <x:v>Zuhanytálca</x:v>
      </x:c>
      <x:c r="C63" s="7" t="str">
        <x:v>db</x:v>
      </x:c>
      <x:c r="D63" s="16" t="n">
        <x:v>1</x:v>
      </x:c>
      <x:c r="E63" s="11" t="n">
        <x:f aca="0">'Plumbing QTO'!M23</x:f>
        <x:v>0</x:v>
      </x:c>
      <x:c r="F63" s="17" t="n">
        <x:f aca="0">D63*E63</x:f>
        <x:v>0</x:v>
      </x:c>
      <x:c r="G63" s="10"/>
      <x:c r="H63" s="17" t="n">
        <x:f aca="0">F63*G63</x:f>
        <x:v>0</x:v>
      </x:c>
      <x:c r="I63" s="9" t="str">
        <x:v>Víz-csatorna</x:v>
      </x:c>
      <x:c r="J63" s="9" t="str">
        <x:v>csak anyagellátás</x:v>
      </x:c>
    </x:row>
    <x:row r="64" ht="15" hidden="0">
      <x:c r="A64" s="8"/>
      <x:c r="B64" s="9" t="s">
        <x:v>174</x:v>
      </x:c>
      <x:c r="C64" s="7" t="str">
        <x:v>db</x:v>
      </x:c>
      <x:c r="D64" s="16" t="n">
        <x:v>1</x:v>
      </x:c>
      <x:c r="E64" s="17" t="n">
        <x:f aca="0">E$63</x:f>
        <x:v>0</x:v>
      </x:c>
      <x:c r="F64" s="17" t="n">
        <x:f aca="0">D64*E64</x:f>
        <x:v>0</x:v>
      </x:c>
      <x:c r="G64" s="10"/>
      <x:c r="H64" s="17" t="n">
        <x:f aca="0">F64*G64</x:f>
        <x:v>0</x:v>
      </x:c>
      <x:c r="I64" s="9" t="str">
        <x:v>Víz-csatorna</x:v>
      </x:c>
      <x:c r="J64" s="9"/>
    </x:row>
    <x:row r="65" ht="15" hidden="0">
      <x:c r="A65" s="8"/>
      <x:c r="B65" s="9" t="s">
        <x:v>24</x:v>
      </x:c>
      <x:c r="C65" s="7" t="str">
        <x:v>db</x:v>
      </x:c>
      <x:c r="D65" s="16" t="n">
        <x:v>1</x:v>
      </x:c>
      <x:c r="E65" s="17" t="n">
        <x:f aca="0">E$63</x:f>
        <x:v>0</x:v>
      </x:c>
      <x:c r="F65" s="17" t="n">
        <x:f aca="0">D65*E65</x:f>
        <x:v>0</x:v>
      </x:c>
      <x:c r="G65" s="10"/>
      <x:c r="H65" s="17" t="n">
        <x:f aca="0">F65*G65</x:f>
        <x:v>0</x:v>
      </x:c>
      <x:c r="I65" s="9" t="str">
        <x:v>Víz-csatorna</x:v>
      </x:c>
      <x:c r="J65" s="9"/>
    </x:row>
    <x:row r="66" ht="15" hidden="0">
      <x:c r="A66" s="8"/>
      <x:c r="B66" s="9" t="s">
        <x:v>26</x:v>
      </x:c>
      <x:c r="C66" s="7" t="str">
        <x:v>db</x:v>
      </x:c>
      <x:c r="D66" s="16" t="n">
        <x:v>0.5</x:v>
      </x:c>
      <x:c r="E66" s="17" t="n">
        <x:f aca="0">E$63</x:f>
        <x:v>0</x:v>
      </x:c>
      <x:c r="F66" s="17" t="n">
        <x:f aca="0">D66*E66</x:f>
        <x:v>0</x:v>
      </x:c>
      <x:c r="G66" s="10"/>
      <x:c r="H66" s="17" t="n">
        <x:f aca="0">F66*G66</x:f>
        <x:v>0</x:v>
      </x:c>
      <x:c r="I66" s="9" t="str">
        <x:v>Víz-csatorna</x:v>
      </x:c>
      <x:c r="J66" s="9" t="s">
        <x:v>175</x:v>
      </x:c>
    </x:row>
    <x:row r="67" ht="15" hidden="0">
      <x:c r="A67" s="8"/>
      <x:c r="B67" s="9" t="str">
        <x:v>padló waste / shower grate</x:v>
      </x:c>
      <x:c r="C67" s="7" t="str">
        <x:v>db</x:v>
      </x:c>
      <x:c r="D67" s="16" t="n">
        <x:v>1</x:v>
      </x:c>
      <x:c r="E67" s="17" t="n">
        <x:f aca="0">E$63</x:f>
        <x:v>0</x:v>
      </x:c>
      <x:c r="F67" s="17" t="n">
        <x:f aca="0">D67*E67</x:f>
        <x:v>0</x:v>
      </x:c>
      <x:c r="G67" s="10"/>
      <x:c r="H67" s="17" t="n">
        <x:f aca="0">F67*G67</x:f>
        <x:v>0</x:v>
      </x:c>
      <x:c r="I67" s="9" t="str">
        <x:v>Víz-csatorna</x:v>
      </x:c>
      <x:c r="J67" s="9"/>
    </x:row>
    <x:row r="68" ht="15" hidden="0">
      <x:c r="A68" s="8"/>
      <x:c r="B68" s="9" t="s">
        <x:v>176</x:v>
      </x:c>
      <x:c r="C68" s="7" t="str">
        <x:v>db</x:v>
      </x:c>
      <x:c r="D68" s="16" t="n">
        <x:v>1</x:v>
      </x:c>
      <x:c r="E68" s="17" t="n">
        <x:f aca="0">E$63</x:f>
        <x:v>0</x:v>
      </x:c>
      <x:c r="F68" s="17" t="n">
        <x:f aca="0">D68*E68</x:f>
        <x:v>0</x:v>
      </x:c>
      <x:c r="G68" s="10"/>
      <x:c r="H68" s="17" t="n">
        <x:f aca="0">F68*G68</x:f>
        <x:v>0</x:v>
      </x:c>
      <x:c r="I68" s="9" t="str">
        <x:v>Víz-csatorna</x:v>
      </x:c>
      <x:c r="J68" s="9"/>
    </x:row>
    <x:row r="69" ht="15" hidden="0">
      <x:c r="A69" s="8"/>
      <x:c r="B69" s="9" t="str">
        <x:v>Branch waste cső (PVC DN50)</x:v>
      </x:c>
      <x:c r="C69" s="7" t="str">
        <x:v>fm</x:v>
      </x:c>
      <x:c r="D69" s="16" t="n">
        <x:v>2</x:v>
      </x:c>
      <x:c r="E69" s="17" t="n">
        <x:f aca="0">E$63</x:f>
        <x:v>0</x:v>
      </x:c>
      <x:c r="F69" s="17" t="n">
        <x:f aca="0">D69*E69</x:f>
        <x:v>0</x:v>
      </x:c>
      <x:c r="G69" s="10"/>
      <x:c r="H69" s="17" t="n">
        <x:f aca="0">F69*G69</x:f>
        <x:v>0</x:v>
      </x:c>
      <x:c r="I69" s="9" t="str">
        <x:v>Víz-csatorna</x:v>
      </x:c>
      <x:c r="J69" s="9"/>
    </x:row>
    <x:row r="70" ht="15" hidden="0">
      <x:c r="A70" s="8"/>
      <x:c r="B70" s="9" t="str">
        <x:v>hidegvíz branch (DN15)</x:v>
      </x:c>
      <x:c r="C70" s="7" t="str">
        <x:v>fm</x:v>
      </x:c>
      <x:c r="D70" s="16" t="n">
        <x:v>3</x:v>
      </x:c>
      <x:c r="E70" s="17" t="n">
        <x:f aca="0">E$63</x:f>
        <x:v>0</x:v>
      </x:c>
      <x:c r="F70" s="17" t="n">
        <x:f aca="0">D70*E70</x:f>
        <x:v>0</x:v>
      </x:c>
      <x:c r="G70" s="10"/>
      <x:c r="H70" s="17" t="n">
        <x:f aca="0">F70*G70</x:f>
        <x:v>0</x:v>
      </x:c>
      <x:c r="I70" s="9" t="str">
        <x:v>Víz-csatorna</x:v>
      </x:c>
      <x:c r="J70" s="9" t="s">
        <x:v>177</x:v>
      </x:c>
    </x:row>
    <x:row r="71" ht="15" hidden="0">
      <x:c r="A71" s="8"/>
      <x:c r="B71" s="9" t="str">
        <x:v>melegvíz branch (DN15)</x:v>
      </x:c>
      <x:c r="C71" s="7" t="str">
        <x:v>fm</x:v>
      </x:c>
      <x:c r="D71" s="16" t="n">
        <x:v>3</x:v>
      </x:c>
      <x:c r="E71" s="17" t="n">
        <x:f aca="0">E$63</x:f>
        <x:v>0</x:v>
      </x:c>
      <x:c r="F71" s="17" t="n">
        <x:f aca="0">D71*E71</x:f>
        <x:v>0</x:v>
      </x:c>
      <x:c r="G71" s="10"/>
      <x:c r="H71" s="17" t="n">
        <x:f aca="0">F71*G71</x:f>
        <x:v>0</x:v>
      </x:c>
      <x:c r="I71" s="9" t="str">
        <x:v>Víz-csatorna</x:v>
      </x:c>
      <x:c r="J71" s="9"/>
    </x:row>
    <x:row r="72" ht="15" hidden="0">
      <x:c r="A72" s="8"/>
      <x:c r="B72" s="9" t="str">
        <x:v>cső idomok</x:v>
      </x:c>
      <x:c r="C72" s="7" t="str">
        <x:v>db</x:v>
      </x:c>
      <x:c r="D72" s="16" t="n">
        <x:v>8</x:v>
      </x:c>
      <x:c r="E72" s="17" t="n">
        <x:f aca="0">E$63</x:f>
        <x:v>0</x:v>
      </x:c>
      <x:c r="F72" s="17" t="n">
        <x:f aca="0">D72*E72</x:f>
        <x:v>0</x:v>
      </x:c>
      <x:c r="G72" s="10"/>
      <x:c r="H72" s="17" t="n">
        <x:f aca="0">F72*G72</x:f>
        <x:v>0</x:v>
      </x:c>
      <x:c r="I72" s="9" t="str">
        <x:v>Víz-csatorna</x:v>
      </x:c>
      <x:c r="J72" s="9"/>
    </x:row>
    <x:row r="73" ht="15" hidden="0">
      <x:c r="A73" s="8"/>
      <x:c r="B73" s="9" t="str">
        <x:v>cső hangers / clips</x:v>
      </x:c>
      <x:c r="C73" s="7" t="str">
        <x:v>db</x:v>
      </x:c>
      <x:c r="D73" s="16" t="n">
        <x:v>6</x:v>
      </x:c>
      <x:c r="E73" s="17" t="n">
        <x:f aca="0">E$63</x:f>
        <x:v>0</x:v>
      </x:c>
      <x:c r="F73" s="17" t="n">
        <x:f aca="0">D73*E73</x:f>
        <x:v>0</x:v>
      </x:c>
      <x:c r="G73" s="10"/>
      <x:c r="H73" s="17" t="n">
        <x:f aca="0">F73*G73</x:f>
        <x:v>0</x:v>
      </x:c>
      <x:c r="I73" s="9" t="str">
        <x:v>Víz-csatorna</x:v>
      </x:c>
      <x:c r="J73" s="9"/>
    </x:row>
    <x:row r="74" ht="15" hidden="0">
      <x:c r="A74" s="8"/>
      <x:c r="B74" s="9" t="s">
        <x:v>178</x:v>
      </x:c>
      <x:c r="C74" s="7" t="str">
        <x:v>klt.</x:v>
      </x:c>
      <x:c r="D74" s="16" t="n">
        <x:v>1</x:v>
      </x:c>
      <x:c r="E74" s="17" t="n">
        <x:f aca="0">E$63</x:f>
        <x:v>0</x:v>
      </x:c>
      <x:c r="F74" s="17" t="n">
        <x:f aca="0">D74*E74</x:f>
        <x:v>0</x:v>
      </x:c>
      <x:c r="G74" s="10"/>
      <x:c r="H74" s="17" t="n">
        <x:f aca="0">F74*G74</x:f>
        <x:v>0</x:v>
      </x:c>
      <x:c r="I74" s="9" t="str">
        <x:v>Víz-csatorna</x:v>
      </x:c>
      <x:c r="J74" s="9"/>
    </x:row>
    <x:row r="75" ht="15" hidden="0">
      <x:c r="A75" s="8"/>
      <x:c r="B75" s="9" t="str">
        <x:v>szilikon tömítőanyag</x:v>
      </x:c>
      <x:c r="C75" s="7" t="str">
        <x:v>tubus</x:v>
      </x:c>
      <x:c r="D75" s="16" t="n">
        <x:v>0.5</x:v>
      </x:c>
      <x:c r="E75" s="17" t="n">
        <x:f aca="0">E$63</x:f>
        <x:v>0</x:v>
      </x:c>
      <x:c r="F75" s="17" t="n">
        <x:f aca="0">D75*E75</x:f>
        <x:v>0</x:v>
      </x:c>
      <x:c r="G75" s="10"/>
      <x:c r="H75" s="17" t="n">
        <x:f aca="0">F75*G75</x:f>
        <x:v>0</x:v>
      </x:c>
      <x:c r="I75" s="9" t="str">
        <x:v>Víz-csatorna</x:v>
      </x:c>
      <x:c r="J75" s="9"/>
    </x:row>
    <x:row r="76" ht="15" hidden="0">
      <x:c r="A76" s="8"/>
      <x:c r="B76" s="9" t="s">
        <x:v>157</x:v>
      </x:c>
      <x:c r="C76" s="7" t="str">
        <x:v>óra</x:v>
      </x:c>
      <x:c r="D76" s="16" t="n">
        <x:v>2</x:v>
      </x:c>
      <x:c r="E76" s="17" t="n">
        <x:f aca="0">E$63</x:f>
        <x:v>0</x:v>
      </x:c>
      <x:c r="F76" s="17" t="n">
        <x:f aca="0">D76*E76</x:f>
        <x:v>0</x:v>
      </x:c>
      <x:c r="G76" s="10"/>
      <x:c r="H76" s="17" t="n">
        <x:f aca="0">F76*G76</x:f>
        <x:v>0</x:v>
      </x:c>
      <x:c r="I76" s="9" t="str">
        <x:v>Munkaerő</x:v>
      </x:c>
      <x:c r="J76" s="9" t="str">
        <x:v>Coord waterproofing</x:v>
      </x:c>
    </x:row>
    <x:row r="77" ht="15" hidden="0">
      <x:c r="A77" s="8"/>
      <x:c r="B77" s="9" t="s">
        <x:v>179</x:v>
      </x:c>
      <x:c r="C77" s="7" t="str">
        <x:v>óra</x:v>
      </x:c>
      <x:c r="D77" s="16" t="n">
        <x:v>1</x:v>
      </x:c>
      <x:c r="E77" s="17" t="n">
        <x:f aca="0">E$63</x:f>
        <x:v>0</x:v>
      </x:c>
      <x:c r="F77" s="17" t="n">
        <x:f aca="0">D77*E77</x:f>
        <x:v>0</x:v>
      </x:c>
      <x:c r="G77" s="10"/>
      <x:c r="H77" s="17" t="n">
        <x:f aca="0">F77*G77</x:f>
        <x:v>0</x:v>
      </x:c>
      <x:c r="I77" s="9" t="str">
        <x:v>Munkaerő</x:v>
      </x:c>
      <x:c r="J77" s="9"/>
    </x:row>
    <x:row r="78" ht="15" hidden="0">
      <x:c r="A78" s="8"/>
      <x:c r="B78" s="9" t="str">
        <x:v>Labour - plumber test &amp; öblítés</x:v>
      </x:c>
      <x:c r="C78" s="7" t="str">
        <x:v>óra</x:v>
      </x:c>
      <x:c r="D78" s="16" t="n">
        <x:v>0.25</x:v>
      </x:c>
      <x:c r="E78" s="17" t="n">
        <x:f aca="0">E$63</x:f>
        <x:v>0</x:v>
      </x:c>
      <x:c r="F78" s="17" t="n">
        <x:f aca="0">D78*E78</x:f>
        <x:v>0</x:v>
      </x:c>
      <x:c r="G78" s="10"/>
      <x:c r="H78" s="17" t="n">
        <x:f aca="0">F78*G78</x:f>
        <x:v>0</x:v>
      </x:c>
      <x:c r="I78" s="9" t="str">
        <x:v>Munkaerő</x:v>
      </x:c>
      <x:c r="J78" s="9"/>
    </x:row>
    <x:row r="79" ht="15" hidden="0">
      <x:c r="A79" s="18"/>
      <x:c r="B79" s="19" t="s">
        <x:v>180</x:v>
      </x:c>
      <x:c r="C79" s="18"/>
      <x:c r="D79" s="18"/>
      <x:c r="E79" s="18"/>
      <x:c r="F79" s="18"/>
      <x:c r="G79" s="18"/>
      <x:c r="H79" s="20" t="n">
        <x:f aca="0">SUM(H63:H78)</x:f>
        <x:v>0</x:v>
      </x:c>
      <x:c r="I79" s="18"/>
      <x:c r="J79" s="18"/>
    </x:row>
    <x:row r="81" ht="15" hidden="0">
      <x:c r="J81" s="13" t="s">
        <x:v>181</x:v>
      </x:c>
    </x:row>
    <x:row r="82" ht="15" hidden="0">
      <x:c r="A82" s="14" t="s">
        <x:v>155</x:v>
      </x:c>
      <x:c r="B82" s="15" t="str">
        <x:v>piszoár - fali kivitelű (érzékelő öblítés)</x:v>
      </x:c>
      <x:c r="C82" s="7" t="str">
        <x:v>db</x:v>
      </x:c>
      <x:c r="D82" s="16" t="n">
        <x:v>1</x:v>
      </x:c>
      <x:c r="E82" s="11" t="n">
        <x:f aca="0">'Plumbing QTO'!M15</x:f>
        <x:v>0</x:v>
      </x:c>
      <x:c r="F82" s="17" t="n">
        <x:f aca="0">D82*E82</x:f>
        <x:v>0</x:v>
      </x:c>
      <x:c r="G82" s="10"/>
      <x:c r="H82" s="17" t="n">
        <x:f aca="0">F82*G82</x:f>
        <x:v>0</x:v>
      </x:c>
      <x:c r="I82" s="9" t="str">
        <x:v>Víz-csatorna</x:v>
      </x:c>
      <x:c r="J82" s="9" t="str">
        <x:v>csak anyagellátás</x:v>
      </x:c>
    </x:row>
    <x:row r="83" ht="15" hidden="0">
      <x:c r="A83" s="8"/>
      <x:c r="B83" s="9" t="str">
        <x:v>érzékelő öblítés szelep + transformer</x:v>
      </x:c>
      <x:c r="C83" s="7" t="str">
        <x:v>db</x:v>
      </x:c>
      <x:c r="D83" s="16" t="n">
        <x:v>1</x:v>
      </x:c>
      <x:c r="E83" s="17" t="n">
        <x:f aca="0">E$82</x:f>
        <x:v>0</x:v>
      </x:c>
      <x:c r="F83" s="17" t="n">
        <x:f aca="0">D83*E83</x:f>
        <x:v>0</x:v>
      </x:c>
      <x:c r="G83" s="10"/>
      <x:c r="H83" s="17" t="n">
        <x:f aca="0">F83*G83</x:f>
        <x:v>0</x:v>
      </x:c>
      <x:c r="I83" s="9" t="str">
        <x:v>Víz-csatorna</x:v>
      </x:c>
      <x:c r="J83" s="9"/>
    </x:row>
    <x:row r="84" ht="15" hidden="0">
      <x:c r="A84" s="8"/>
      <x:c r="B84" s="9" t="str">
        <x:v>piszoár trap / outlet kit</x:v>
      </x:c>
      <x:c r="C84" s="7" t="str">
        <x:v>db</x:v>
      </x:c>
      <x:c r="D84" s="16" t="n">
        <x:v>1</x:v>
      </x:c>
      <x:c r="E84" s="17" t="n">
        <x:f aca="0">E$82</x:f>
        <x:v>0</x:v>
      </x:c>
      <x:c r="F84" s="17" t="n">
        <x:f aca="0">D84*E84</x:f>
        <x:v>0</x:v>
      </x:c>
      <x:c r="G84" s="10"/>
      <x:c r="H84" s="17" t="n">
        <x:f aca="0">F84*G84</x:f>
        <x:v>0</x:v>
      </x:c>
      <x:c r="I84" s="9" t="str">
        <x:v>Víz-csatorna</x:v>
      </x:c>
      <x:c r="J84" s="9"/>
    </x:row>
    <x:row r="85" ht="15" hidden="0">
      <x:c r="A85" s="8"/>
      <x:c r="B85" s="9" t="str">
        <x:v>Wall rögzítőelemek (concealed bracket)</x:v>
      </x:c>
      <x:c r="C85" s="7" t="str">
        <x:v>klt.</x:v>
      </x:c>
      <x:c r="D85" s="16" t="n">
        <x:v>1</x:v>
      </x:c>
      <x:c r="E85" s="17" t="n">
        <x:f aca="0">E$82</x:f>
        <x:v>0</x:v>
      </x:c>
      <x:c r="F85" s="17" t="n">
        <x:f aca="0">D85*E85</x:f>
        <x:v>0</x:v>
      </x:c>
      <x:c r="G85" s="10"/>
      <x:c r="H85" s="17" t="n">
        <x:f aca="0">F85*G85</x:f>
        <x:v>0</x:v>
      </x:c>
      <x:c r="I85" s="9" t="str">
        <x:v>Víz-csatorna</x:v>
      </x:c>
      <x:c r="J85" s="9"/>
    </x:row>
    <x:row r="86" ht="15" hidden="0">
      <x:c r="A86" s="8"/>
      <x:c r="B86" s="9" t="str">
        <x:v>Power befúvás (12V/24V)</x:v>
      </x:c>
      <x:c r="C86" s="7" t="str">
        <x:v>db</x:v>
      </x:c>
      <x:c r="D86" s="16" t="n">
        <x:v>1</x:v>
      </x:c>
      <x:c r="E86" s="17" t="n">
        <x:f aca="0">E$82</x:f>
        <x:v>0</x:v>
      </x:c>
      <x:c r="F86" s="17" t="n">
        <x:f aca="0">D86*E86</x:f>
        <x:v>0</x:v>
      </x:c>
      <x:c r="G86" s="10"/>
      <x:c r="H86" s="17" t="n">
        <x:f aca="0">F86*G86</x:f>
        <x:v>0</x:v>
      </x:c>
      <x:c r="I86" s="9" t="str">
        <x:v>Elektromos</x:v>
      </x:c>
      <x:c r="J86" s="9" t="s">
        <x:v>182</x:v>
      </x:c>
    </x:row>
    <x:row r="87" ht="15" hidden="0">
      <x:c r="A87" s="8"/>
      <x:c r="B87" s="9" t="str">
        <x:v>Branch waste cső (PVC DN50)</x:v>
      </x:c>
      <x:c r="C87" s="7" t="str">
        <x:v>fm</x:v>
      </x:c>
      <x:c r="D87" s="16" t="n">
        <x:v>2</x:v>
      </x:c>
      <x:c r="E87" s="17" t="n">
        <x:f aca="0">E$82</x:f>
        <x:v>0</x:v>
      </x:c>
      <x:c r="F87" s="17" t="n">
        <x:f aca="0">D87*E87</x:f>
        <x:v>0</x:v>
      </x:c>
      <x:c r="G87" s="10"/>
      <x:c r="H87" s="17" t="n">
        <x:f aca="0">F87*G87</x:f>
        <x:v>0</x:v>
      </x:c>
      <x:c r="I87" s="9" t="str">
        <x:v>Víz-csatorna</x:v>
      </x:c>
      <x:c r="J87" s="9"/>
    </x:row>
    <x:row r="88" ht="15" hidden="0">
      <x:c r="A88" s="8"/>
      <x:c r="B88" s="9" t="str">
        <x:v>hidegvíz branch (DN15)</x:v>
      </x:c>
      <x:c r="C88" s="7" t="str">
        <x:v>fm</x:v>
      </x:c>
      <x:c r="D88" s="16" t="n">
        <x:v>2</x:v>
      </x:c>
      <x:c r="E88" s="17" t="n">
        <x:f aca="0">E$82</x:f>
        <x:v>0</x:v>
      </x:c>
      <x:c r="F88" s="17" t="n">
        <x:f aca="0">D88*E88</x:f>
        <x:v>0</x:v>
      </x:c>
      <x:c r="G88" s="10"/>
      <x:c r="H88" s="17" t="n">
        <x:f aca="0">F88*G88</x:f>
        <x:v>0</x:v>
      </x:c>
      <x:c r="I88" s="9" t="str">
        <x:v>Víz-csatorna</x:v>
      </x:c>
      <x:c r="J88" s="9"/>
    </x:row>
    <x:row r="89" ht="15" hidden="0">
      <x:c r="A89" s="8"/>
      <x:c r="B89" s="9" t="s">
        <x:v>183</x:v>
      </x:c>
      <x:c r="C89" s="7" t="str">
        <x:v>db</x:v>
      </x:c>
      <x:c r="D89" s="16" t="n">
        <x:v>1</x:v>
      </x:c>
      <x:c r="E89" s="17" t="n">
        <x:f aca="0">E$82</x:f>
        <x:v>0</x:v>
      </x:c>
      <x:c r="F89" s="17" t="n">
        <x:f aca="0">D89*E89</x:f>
        <x:v>0</x:v>
      </x:c>
      <x:c r="G89" s="10"/>
      <x:c r="H89" s="17" t="n">
        <x:f aca="0">F89*G89</x:f>
        <x:v>0</x:v>
      </x:c>
      <x:c r="I89" s="9" t="str">
        <x:v>Víz-csatorna</x:v>
      </x:c>
      <x:c r="J89" s="9"/>
    </x:row>
    <x:row r="90" ht="15" hidden="0">
      <x:c r="A90" s="8"/>
      <x:c r="B90" s="9" t="str">
        <x:v>cső idomok</x:v>
      </x:c>
      <x:c r="C90" s="7" t="str">
        <x:v>db</x:v>
      </x:c>
      <x:c r="D90" s="16" t="n">
        <x:v>4</x:v>
      </x:c>
      <x:c r="E90" s="17" t="n">
        <x:f aca="0">E$82</x:f>
        <x:v>0</x:v>
      </x:c>
      <x:c r="F90" s="17" t="n">
        <x:f aca="0">D90*E90</x:f>
        <x:v>0</x:v>
      </x:c>
      <x:c r="G90" s="10"/>
      <x:c r="H90" s="17" t="n">
        <x:f aca="0">F90*G90</x:f>
        <x:v>0</x:v>
      </x:c>
      <x:c r="I90" s="9" t="str">
        <x:v>Víz-csatorna</x:v>
      </x:c>
      <x:c r="J90" s="9"/>
    </x:row>
    <x:row r="91" ht="15" hidden="0">
      <x:c r="A91" s="8"/>
      <x:c r="B91" s="9" t="str">
        <x:v>cső hangers</x:v>
      </x:c>
      <x:c r="C91" s="7" t="str">
        <x:v>db</x:v>
      </x:c>
      <x:c r="D91" s="16" t="n">
        <x:v>4</x:v>
      </x:c>
      <x:c r="E91" s="17" t="n">
        <x:f aca="0">E$82</x:f>
        <x:v>0</x:v>
      </x:c>
      <x:c r="F91" s="17" t="n">
        <x:f aca="0">D91*E91</x:f>
        <x:v>0</x:v>
      </x:c>
      <x:c r="G91" s="10"/>
      <x:c r="H91" s="17" t="n">
        <x:f aca="0">F91*G91</x:f>
        <x:v>0</x:v>
      </x:c>
      <x:c r="I91" s="9" t="str">
        <x:v>Víz-csatorna</x:v>
      </x:c>
      <x:c r="J91" s="9"/>
    </x:row>
    <x:row r="92" ht="15" hidden="0">
      <x:c r="A92" s="8"/>
      <x:c r="B92" s="9" t="str">
        <x:v>szilikon tömítőanyag</x:v>
      </x:c>
      <x:c r="C92" s="7" t="str">
        <x:v>tubus</x:v>
      </x:c>
      <x:c r="D92" s="16" t="n">
        <x:v>0.25</x:v>
      </x:c>
      <x:c r="E92" s="17" t="n">
        <x:f aca="0">E$82</x:f>
        <x:v>0</x:v>
      </x:c>
      <x:c r="F92" s="17" t="n">
        <x:f aca="0">D92*E92</x:f>
        <x:v>0</x:v>
      </x:c>
      <x:c r="G92" s="10"/>
      <x:c r="H92" s="17" t="n">
        <x:f aca="0">F92*G92</x:f>
        <x:v>0</x:v>
      </x:c>
      <x:c r="I92" s="9" t="str">
        <x:v>Víz-csatorna</x:v>
      </x:c>
      <x:c r="J92" s="9"/>
    </x:row>
    <x:row r="93" ht="15" hidden="0">
      <x:c r="A93" s="8"/>
      <x:c r="B93" s="9" t="s">
        <x:v>157</x:v>
      </x:c>
      <x:c r="C93" s="7" t="str">
        <x:v>óra</x:v>
      </x:c>
      <x:c r="D93" s="16" t="n">
        <x:v>1.5</x:v>
      </x:c>
      <x:c r="E93" s="17" t="n">
        <x:f aca="0">E$82</x:f>
        <x:v>0</x:v>
      </x:c>
      <x:c r="F93" s="17" t="n">
        <x:f aca="0">D93*E93</x:f>
        <x:v>0</x:v>
      </x:c>
      <x:c r="G93" s="10"/>
      <x:c r="H93" s="17" t="n">
        <x:f aca="0">F93*G93</x:f>
        <x:v>0</x:v>
      </x:c>
      <x:c r="I93" s="9" t="str">
        <x:v>Munkaerő</x:v>
      </x:c>
      <x:c r="J93" s="9"/>
    </x:row>
    <x:row r="94" ht="15" hidden="0">
      <x:c r="A94" s="8"/>
      <x:c r="B94" s="9" t="s">
        <x:v>159</x:v>
      </x:c>
      <x:c r="C94" s="7" t="str">
        <x:v>óra</x:v>
      </x:c>
      <x:c r="D94" s="16" t="n">
        <x:v>0.75</x:v>
      </x:c>
      <x:c r="E94" s="17" t="n">
        <x:f aca="0">E$82</x:f>
        <x:v>0</x:v>
      </x:c>
      <x:c r="F94" s="17" t="n">
        <x:f aca="0">D94*E94</x:f>
        <x:v>0</x:v>
      </x:c>
      <x:c r="G94" s="10"/>
      <x:c r="H94" s="17" t="n">
        <x:f aca="0">F94*G94</x:f>
        <x:v>0</x:v>
      </x:c>
      <x:c r="I94" s="9" t="str">
        <x:v>Munkaerő</x:v>
      </x:c>
      <x:c r="J94" s="9"/>
    </x:row>
    <x:row r="95" ht="15" hidden="0">
      <x:c r="A95" s="8"/>
      <x:c r="B95" s="9" t="str">
        <x:v>Labour - electrician (érzékelő power)</x:v>
      </x:c>
      <x:c r="C95" s="7" t="str">
        <x:v>óra</x:v>
      </x:c>
      <x:c r="D95" s="16" t="n">
        <x:v>0.5</x:v>
      </x:c>
      <x:c r="E95" s="17" t="n">
        <x:f aca="0">E$82</x:f>
        <x:v>0</x:v>
      </x:c>
      <x:c r="F95" s="17" t="n">
        <x:f aca="0">D95*E95</x:f>
        <x:v>0</x:v>
      </x:c>
      <x:c r="G95" s="10"/>
      <x:c r="H95" s="17" t="n">
        <x:f aca="0">F95*G95</x:f>
        <x:v>0</x:v>
      </x:c>
      <x:c r="I95" s="9" t="str">
        <x:v>Munkaerő</x:v>
      </x:c>
      <x:c r="J95" s="9"/>
    </x:row>
    <x:row r="96" ht="15" hidden="0">
      <x:c r="A96" s="8"/>
      <x:c r="B96" s="9" t="s">
        <x:v>184</x:v>
      </x:c>
      <x:c r="C96" s="7" t="str">
        <x:v>óra</x:v>
      </x:c>
      <x:c r="D96" s="16" t="n">
        <x:v>0.25</x:v>
      </x:c>
      <x:c r="E96" s="17" t="n">
        <x:f aca="0">E$82</x:f>
        <x:v>0</x:v>
      </x:c>
      <x:c r="F96" s="17" t="n">
        <x:f aca="0">D96*E96</x:f>
        <x:v>0</x:v>
      </x:c>
      <x:c r="G96" s="10"/>
      <x:c r="H96" s="17" t="n">
        <x:f aca="0">F96*G96</x:f>
        <x:v>0</x:v>
      </x:c>
      <x:c r="I96" s="9" t="str">
        <x:v>Munkaerő</x:v>
      </x:c>
      <x:c r="J96" s="9"/>
    </x:row>
    <x:row r="97" ht="15" hidden="0">
      <x:c r="A97" s="18"/>
      <x:c r="B97" s="19" t="s">
        <x:v>185</x:v>
      </x:c>
      <x:c r="C97" s="18"/>
      <x:c r="D97" s="18"/>
      <x:c r="E97" s="18"/>
      <x:c r="F97" s="18"/>
      <x:c r="G97" s="18"/>
      <x:c r="H97" s="20" t="n">
        <x:f aca="0">SUM(H82:H96)</x:f>
        <x:v>0</x:v>
      </x:c>
      <x:c r="I97" s="18"/>
      <x:c r="J97" s="18"/>
    </x:row>
    <x:row r="99" ht="15" hidden="0">
      <x:c r="J99" s="13" t="s">
        <x:v>186</x:v>
      </x:c>
    </x:row>
    <x:row r="100" ht="15" hidden="0">
      <x:c r="A100" s="14" t="s">
        <x:v>155</x:v>
      </x:c>
      <x:c r="B100" s="15" t="str">
        <x:v>réz cső - DN20</x:v>
      </x:c>
      <x:c r="C100" s="7" t="str">
        <x:v>fm</x:v>
      </x:c>
      <x:c r="D100" s="16" t="n">
        <x:v>1</x:v>
      </x:c>
      <x:c r="E100" s="11" t="n">
        <x:f aca="0">'Plumbing QTO'!M43</x:f>
        <x:v>0</x:v>
      </x:c>
      <x:c r="F100" s="17" t="n">
        <x:f aca="0">D100*E100</x:f>
        <x:v>0</x:v>
      </x:c>
      <x:c r="G100" s="10"/>
      <x:c r="H100" s="17" t="n">
        <x:f aca="0">F100*G100</x:f>
        <x:v>0</x:v>
      </x:c>
      <x:c r="I100" s="9" t="str">
        <x:v>Víz-csatorna</x:v>
      </x:c>
      <x:c r="J100" s="9" t="str">
        <x:v>csak anyagellátás</x:v>
      </x:c>
    </x:row>
    <x:row r="101" ht="15" hidden="0">
      <x:c r="A101" s="8"/>
      <x:c r="B101" s="9" t="str">
        <x:v>cső idomok (könyök idomok/T-idomok/szűkítők)</x:v>
      </x:c>
      <x:c r="C101" s="7" t="str">
        <x:v>db</x:v>
      </x:c>
      <x:c r="D101" s="16" t="n">
        <x:v>0.4</x:v>
      </x:c>
      <x:c r="E101" s="17" t="n">
        <x:f aca="0">E$100</x:f>
        <x:v>0</x:v>
      </x:c>
      <x:c r="F101" s="17" t="n">
        <x:f aca="0">D101*E101</x:f>
        <x:v>0</x:v>
      </x:c>
      <x:c r="G101" s="10"/>
      <x:c r="H101" s="17" t="n">
        <x:f aca="0">F101*G101</x:f>
        <x:v>0</x:v>
      </x:c>
      <x:c r="I101" s="9" t="str">
        <x:v>Víz-csatorna</x:v>
      </x:c>
      <x:c r="J101" s="9" t="s">
        <x:v>187</x:v>
      </x:c>
    </x:row>
    <x:row r="102" ht="15" hidden="0">
      <x:c r="A102" s="8"/>
      <x:c r="B102" s="9" t="str">
        <x:v>cső függesztő / clip + fastener</x:v>
      </x:c>
      <x:c r="C102" s="7" t="str">
        <x:v>klt.</x:v>
      </x:c>
      <x:c r="D102" s="16" t="n">
        <x:v>0.67</x:v>
      </x:c>
      <x:c r="E102" s="17" t="n">
        <x:f aca="0">E$100</x:f>
        <x:v>0</x:v>
      </x:c>
      <x:c r="F102" s="17" t="n">
        <x:f aca="0">D102*E102</x:f>
        <x:v>0</x:v>
      </x:c>
      <x:c r="G102" s="10"/>
      <x:c r="H102" s="17" t="n">
        <x:f aca="0">F102*G102</x:f>
        <x:v>0</x:v>
      </x:c>
      <x:c r="I102" s="9" t="str">
        <x:v>Víz-csatorna</x:v>
      </x:c>
      <x:c r="J102" s="9" t="s">
        <x:v>188</x:v>
      </x:c>
    </x:row>
    <x:row r="103" ht="15" hidden="0">
      <x:c r="A103" s="8"/>
      <x:c r="B103" s="9" t="s">
        <x:v>189</x:v>
      </x:c>
      <x:c r="C103" s="7" t="str">
        <x:v>db</x:v>
      </x:c>
      <x:c r="D103" s="16" t="n">
        <x:v>0.67</x:v>
      </x:c>
      <x:c r="E103" s="17" t="n">
        <x:f aca="0">E$100</x:f>
        <x:v>0</x:v>
      </x:c>
      <x:c r="F103" s="17" t="n">
        <x:f aca="0">D103*E103</x:f>
        <x:v>0</x:v>
      </x:c>
      <x:c r="G103" s="10"/>
      <x:c r="H103" s="17" t="n">
        <x:f aca="0">F103*G103</x:f>
        <x:v>0</x:v>
      </x:c>
      <x:c r="I103" s="9" t="str">
        <x:v>Víz-csatorna</x:v>
      </x:c>
      <x:c r="J103" s="9"/>
    </x:row>
    <x:row r="104" ht="15" hidden="0">
      <x:c r="A104" s="8"/>
      <x:c r="B104" s="9" t="s">
        <x:v>190</x:v>
      </x:c>
      <x:c r="C104" s="7" t="str">
        <x:v>fm</x:v>
      </x:c>
      <x:c r="D104" s="16" t="n">
        <x:v>1</x:v>
      </x:c>
      <x:c r="E104" s="17" t="n">
        <x:f aca="0">E$100</x:f>
        <x:v>0</x:v>
      </x:c>
      <x:c r="F104" s="17" t="n">
        <x:f aca="0">D104*E104</x:f>
        <x:v>0</x:v>
      </x:c>
      <x:c r="G104" s="10"/>
      <x:c r="H104" s="17" t="n">
        <x:f aca="0">F104*G104</x:f>
        <x:v>0</x:v>
      </x:c>
      <x:c r="I104" s="9" t="str">
        <x:v>Víz-csatorna</x:v>
      </x:c>
      <x:c r="J104" s="9" t="s">
        <x:v>191</x:v>
      </x:c>
    </x:row>
    <x:row r="105" ht="15" hidden="0">
      <x:c r="A105" s="8"/>
      <x:c r="B105" s="9" t="str">
        <x:v>cső identification marker</x:v>
      </x:c>
      <x:c r="C105" s="7" t="str">
        <x:v>db</x:v>
      </x:c>
      <x:c r="D105" s="16" t="n">
        <x:v>0.2</x:v>
      </x:c>
      <x:c r="E105" s="17" t="n">
        <x:f aca="0">E$100</x:f>
        <x:v>0</x:v>
      </x:c>
      <x:c r="F105" s="17" t="n">
        <x:f aca="0">D105*E105</x:f>
        <x:v>0</x:v>
      </x:c>
      <x:c r="G105" s="10"/>
      <x:c r="H105" s="17" t="n">
        <x:f aca="0">F105*G105</x:f>
        <x:v>0</x:v>
      </x:c>
      <x:c r="I105" s="9" t="str">
        <x:v>Víz-csatorna</x:v>
      </x:c>
      <x:c r="J105" s="9" t="s">
        <x:v>192</x:v>
      </x:c>
    </x:row>
    <x:row r="106" ht="15" hidden="0">
      <x:c r="A106" s="8"/>
      <x:c r="B106" s="9" t="str">
        <x:v>cső szigetelés (where szükséges)</x:v>
      </x:c>
      <x:c r="C106" s="7" t="str">
        <x:v>fm</x:v>
      </x:c>
      <x:c r="D106" s="16" t="n">
        <x:v>0.3</x:v>
      </x:c>
      <x:c r="E106" s="17" t="n">
        <x:f aca="0">E$100</x:f>
        <x:v>0</x:v>
      </x:c>
      <x:c r="F106" s="17" t="n">
        <x:f aca="0">D106*E106</x:f>
        <x:v>0</x:v>
      </x:c>
      <x:c r="G106" s="10"/>
      <x:c r="H106" s="17" t="n">
        <x:f aca="0">F106*G106</x:f>
        <x:v>0</x:v>
      </x:c>
      <x:c r="I106" s="9" t="str">
        <x:v>Víz-csatorna</x:v>
      </x:c>
      <x:c r="J106" s="9" t="str">
        <x:v>~30% szigetelt</x:v>
      </x:c>
    </x:row>
    <x:row r="107" ht="15" hidden="0">
      <x:c r="A107" s="8"/>
      <x:c r="B107" s="9" t="str">
        <x:v>Sundries (tömítőanyag, ID tags)</x:v>
      </x:c>
      <x:c r="C107" s="7" t="str">
        <x:v>fm</x:v>
      </x:c>
      <x:c r="D107" s="16" t="n">
        <x:v>1</x:v>
      </x:c>
      <x:c r="E107" s="17" t="n">
        <x:f aca="0">E$100</x:f>
        <x:v>0</x:v>
      </x:c>
      <x:c r="F107" s="17" t="n">
        <x:f aca="0">D107*E107</x:f>
        <x:v>0</x:v>
      </x:c>
      <x:c r="G107" s="10"/>
      <x:c r="H107" s="17" t="n">
        <x:f aca="0">F107*G107</x:f>
        <x:v>0</x:v>
      </x:c>
      <x:c r="I107" s="9" t="str">
        <x:v>Víz-csatorna</x:v>
      </x:c>
      <x:c r="J107" s="9"/>
    </x:row>
    <x:row r="108" ht="15" hidden="0">
      <x:c r="A108" s="8"/>
      <x:c r="B108" s="9" t="str">
        <x:v>Labour - plumber szerelés</x:v>
      </x:c>
      <x:c r="C108" s="7" t="str">
        <x:v>óra</x:v>
      </x:c>
      <x:c r="D108" s="16" t="n">
        <x:v>0.3</x:v>
      </x:c>
      <x:c r="E108" s="17" t="n">
        <x:f aca="0">E$100</x:f>
        <x:v>0</x:v>
      </x:c>
      <x:c r="F108" s="17" t="n">
        <x:f aca="0">D108*E108</x:f>
        <x:v>0</x:v>
      </x:c>
      <x:c r="G108" s="10"/>
      <x:c r="H108" s="17" t="n">
        <x:f aca="0">F108*G108</x:f>
        <x:v>0</x:v>
      </x:c>
      <x:c r="I108" s="9" t="str">
        <x:v>Munkaerő</x:v>
      </x:c>
      <x:c r="J108" s="9" t="str">
        <x:v>Std mennyezet-void run</x:v>
      </x:c>
    </x:row>
    <x:row r="109" ht="15" hidden="0">
      <x:c r="A109" s="8"/>
      <x:c r="B109" s="9" t="str">
        <x:v>Labour - plumber idomok/joints</x:v>
      </x:c>
      <x:c r="C109" s="7" t="str">
        <x:v>óra</x:v>
      </x:c>
      <x:c r="D109" s="16" t="n">
        <x:v>0.1</x:v>
      </x:c>
      <x:c r="E109" s="17" t="n">
        <x:f aca="0">E$100</x:f>
        <x:v>0</x:v>
      </x:c>
      <x:c r="F109" s="17" t="n">
        <x:f aca="0">D109*E109</x:f>
        <x:v>0</x:v>
      </x:c>
      <x:c r="G109" s="10"/>
      <x:c r="H109" s="17" t="n">
        <x:f aca="0">F109*G109</x:f>
        <x:v>0</x:v>
      </x:c>
      <x:c r="I109" s="9" t="str">
        <x:v>Munkaerő</x:v>
      </x:c>
      <x:c r="J109" s="9"/>
    </x:row>
    <x:row r="110" ht="15" hidden="0">
      <x:c r="A110" s="8"/>
      <x:c r="B110" s="9" t="str">
        <x:v>Labour - plumber tartószerkezetek</x:v>
      </x:c>
      <x:c r="C110" s="7" t="str">
        <x:v>óra</x:v>
      </x:c>
      <x:c r="D110" s="16" t="n">
        <x:v>0.08</x:v>
      </x:c>
      <x:c r="E110" s="17" t="n">
        <x:f aca="0">E$100</x:f>
        <x:v>0</x:v>
      </x:c>
      <x:c r="F110" s="17" t="n">
        <x:f aca="0">D110*E110</x:f>
        <x:v>0</x:v>
      </x:c>
      <x:c r="G110" s="10"/>
      <x:c r="H110" s="17" t="n">
        <x:f aca="0">F110*G110</x:f>
        <x:v>0</x:v>
      </x:c>
      <x:c r="I110" s="9" t="str">
        <x:v>Munkaerő</x:v>
      </x:c>
      <x:c r="J110" s="9"/>
    </x:row>
    <x:row r="111" ht="15" hidden="0">
      <x:c r="A111" s="8"/>
      <x:c r="B111" s="9" t="str">
        <x:v>Labour - nyomáspróba (arányosítva)</x:v>
      </x:c>
      <x:c r="C111" s="7" t="str">
        <x:v>óra</x:v>
      </x:c>
      <x:c r="D111" s="16" t="n">
        <x:v>0.05</x:v>
      </x:c>
      <x:c r="E111" s="17" t="n">
        <x:f aca="0">E$100</x:f>
        <x:v>0</x:v>
      </x:c>
      <x:c r="F111" s="17" t="n">
        <x:f aca="0">D111*E111</x:f>
        <x:v>0</x:v>
      </x:c>
      <x:c r="G111" s="10"/>
      <x:c r="H111" s="17" t="n">
        <x:f aca="0">F111*G111</x:f>
        <x:v>0</x:v>
      </x:c>
      <x:c r="I111" s="9" t="str">
        <x:v>Munkaerő</x:v>
      </x:c>
      <x:c r="J111" s="9"/>
    </x:row>
    <x:row r="112" ht="15" hidden="0">
      <x:c r="A112" s="8"/>
      <x:c r="B112" s="9" t="s">
        <x:v>193</x:v>
      </x:c>
      <x:c r="C112" s="7" t="str">
        <x:v>óra</x:v>
      </x:c>
      <x:c r="D112" s="16" t="n">
        <x:v>0.1</x:v>
      </x:c>
      <x:c r="E112" s="17" t="n">
        <x:f aca="0">E$100</x:f>
        <x:v>0</x:v>
      </x:c>
      <x:c r="F112" s="17" t="n">
        <x:f aca="0">D112*E112</x:f>
        <x:v>0</x:v>
      </x:c>
      <x:c r="G112" s="10"/>
      <x:c r="H112" s="17" t="n">
        <x:f aca="0">F112*G112</x:f>
        <x:v>0</x:v>
      </x:c>
      <x:c r="I112" s="9" t="str">
        <x:v>Gép</x:v>
      </x:c>
      <x:c r="J112" s="9" t="str">
        <x:v>arányosítva</x:v>
      </x:c>
    </x:row>
    <x:row r="113" ht="15" hidden="0">
      <x:c r="A113" s="18"/>
      <x:c r="B113" s="19" t="s">
        <x:v>194</x:v>
      </x:c>
      <x:c r="C113" s="18"/>
      <x:c r="D113" s="18"/>
      <x:c r="E113" s="18"/>
      <x:c r="F113" s="18"/>
      <x:c r="G113" s="18"/>
      <x:c r="H113" s="20" t="n">
        <x:f aca="0">SUM(H100:H112)</x:f>
        <x:v>0</x:v>
      </x:c>
      <x:c r="I113" s="18"/>
      <x:c r="J113" s="18"/>
    </x:row>
    <x:row r="115" ht="15" hidden="0">
      <x:c r="J115" s="13" t="s">
        <x:v>195</x:v>
      </x:c>
    </x:row>
    <x:row r="116" ht="15" hidden="0">
      <x:c r="A116" s="14" t="s">
        <x:v>155</x:v>
      </x:c>
      <x:c r="B116" s="15" t="str">
        <x:v>PPR cső - DN25</x:v>
      </x:c>
      <x:c r="C116" s="7" t="str">
        <x:v>fm</x:v>
      </x:c>
      <x:c r="D116" s="16" t="n">
        <x:v>1</x:v>
      </x:c>
      <x:c r="E116" s="11" t="n">
        <x:f aca="0">'Plumbing QTO'!M48</x:f>
        <x:v>0</x:v>
      </x:c>
      <x:c r="F116" s="17" t="n">
        <x:f aca="0">D116*E116</x:f>
        <x:v>0</x:v>
      </x:c>
      <x:c r="G116" s="10"/>
      <x:c r="H116" s="17" t="n">
        <x:f aca="0">F116*G116</x:f>
        <x:v>0</x:v>
      </x:c>
      <x:c r="I116" s="9" t="str">
        <x:v>Víz-csatorna</x:v>
      </x:c>
      <x:c r="J116" s="9" t="str">
        <x:v>csak anyagellátás</x:v>
      </x:c>
    </x:row>
    <x:row r="117" ht="15" hidden="0">
      <x:c r="A117" s="8"/>
      <x:c r="B117" s="9" t="str">
        <x:v>cső idomok (welded sockets)</x:v>
      </x:c>
      <x:c r="C117" s="7" t="str">
        <x:v>db</x:v>
      </x:c>
      <x:c r="D117" s="16" t="n">
        <x:v>0.4</x:v>
      </x:c>
      <x:c r="E117" s="17" t="n">
        <x:f aca="0">E$116</x:f>
        <x:v>0</x:v>
      </x:c>
      <x:c r="F117" s="17" t="n">
        <x:f aca="0">D117*E117</x:f>
        <x:v>0</x:v>
      </x:c>
      <x:c r="G117" s="10"/>
      <x:c r="H117" s="17" t="n">
        <x:f aca="0">F117*G117</x:f>
        <x:v>0</x:v>
      </x:c>
      <x:c r="I117" s="9" t="str">
        <x:v>Víz-csatorna</x:v>
      </x:c>
      <x:c r="J117" s="9"/>
    </x:row>
    <x:row r="118" ht="15" hidden="0">
      <x:c r="A118" s="8"/>
      <x:c r="B118" s="9" t="str">
        <x:v>cső függesztő / clip</x:v>
      </x:c>
      <x:c r="C118" s="7" t="str">
        <x:v>klt.</x:v>
      </x:c>
      <x:c r="D118" s="16" t="n">
        <x:v>0.67</x:v>
      </x:c>
      <x:c r="E118" s="17" t="n">
        <x:f aca="0">E$116</x:f>
        <x:v>0</x:v>
      </x:c>
      <x:c r="F118" s="17" t="n">
        <x:f aca="0">D118*E118</x:f>
        <x:v>0</x:v>
      </x:c>
      <x:c r="G118" s="10"/>
      <x:c r="H118" s="17" t="n">
        <x:f aca="0">F118*G118</x:f>
        <x:v>0</x:v>
      </x:c>
      <x:c r="I118" s="9" t="str">
        <x:v>Víz-csatorna</x:v>
      </x:c>
      <x:c r="J118" s="9" t="s">
        <x:v>188</x:v>
      </x:c>
    </x:row>
    <x:row r="119" ht="15" hidden="0">
      <x:c r="A119" s="8"/>
      <x:c r="B119" s="9" t="s">
        <x:v>189</x:v>
      </x:c>
      <x:c r="C119" s="7" t="str">
        <x:v>db</x:v>
      </x:c>
      <x:c r="D119" s="16" t="n">
        <x:v>0.67</x:v>
      </x:c>
      <x:c r="E119" s="17" t="n">
        <x:f aca="0">E$116</x:f>
        <x:v>0</x:v>
      </x:c>
      <x:c r="F119" s="17" t="n">
        <x:f aca="0">D119*E119</x:f>
        <x:v>0</x:v>
      </x:c>
      <x:c r="G119" s="10"/>
      <x:c r="H119" s="17" t="n">
        <x:f aca="0">F119*G119</x:f>
        <x:v>0</x:v>
      </x:c>
      <x:c r="I119" s="9" t="str">
        <x:v>Víz-csatorna</x:v>
      </x:c>
      <x:c r="J119" s="9"/>
    </x:row>
    <x:row r="120" ht="15" hidden="0">
      <x:c r="A120" s="8"/>
      <x:c r="B120" s="9" t="str">
        <x:v>Welding consumables (PPR tool hire arányosítva)</x:v>
      </x:c>
      <x:c r="C120" s="7" t="str">
        <x:v>fm</x:v>
      </x:c>
      <x:c r="D120" s="16" t="n">
        <x:v>1</x:v>
      </x:c>
      <x:c r="E120" s="17" t="n">
        <x:f aca="0">E$116</x:f>
        <x:v>0</x:v>
      </x:c>
      <x:c r="F120" s="17" t="n">
        <x:f aca="0">D120*E120</x:f>
        <x:v>0</x:v>
      </x:c>
      <x:c r="G120" s="10"/>
      <x:c r="H120" s="17" t="n">
        <x:f aca="0">F120*G120</x:f>
        <x:v>0</x:v>
      </x:c>
      <x:c r="I120" s="9" t="str">
        <x:v>Víz-csatorna</x:v>
      </x:c>
      <x:c r="J120" s="9"/>
    </x:row>
    <x:row r="121" ht="15" hidden="0">
      <x:c r="A121" s="8"/>
      <x:c r="B121" s="9" t="str">
        <x:v>cső identification marker</x:v>
      </x:c>
      <x:c r="C121" s="7" t="str">
        <x:v>db</x:v>
      </x:c>
      <x:c r="D121" s="16" t="n">
        <x:v>0.2</x:v>
      </x:c>
      <x:c r="E121" s="17" t="n">
        <x:f aca="0">E$116</x:f>
        <x:v>0</x:v>
      </x:c>
      <x:c r="F121" s="17" t="n">
        <x:f aca="0">D121*E121</x:f>
        <x:v>0</x:v>
      </x:c>
      <x:c r="G121" s="10"/>
      <x:c r="H121" s="17" t="n">
        <x:f aca="0">F121*G121</x:f>
        <x:v>0</x:v>
      </x:c>
      <x:c r="I121" s="9" t="str">
        <x:v>Víz-csatorna</x:v>
      </x:c>
      <x:c r="J121" s="9"/>
    </x:row>
    <x:row r="122" ht="15" hidden="0">
      <x:c r="A122" s="8"/>
      <x:c r="B122" s="9" t="s">
        <x:v>196</x:v>
      </x:c>
      <x:c r="C122" s="7" t="str">
        <x:v>fm</x:v>
      </x:c>
      <x:c r="D122" s="16" t="n">
        <x:v>1</x:v>
      </x:c>
      <x:c r="E122" s="17" t="n">
        <x:f aca="0">E$116</x:f>
        <x:v>0</x:v>
      </x:c>
      <x:c r="F122" s="17" t="n">
        <x:f aca="0">D122*E122</x:f>
        <x:v>0</x:v>
      </x:c>
      <x:c r="G122" s="10"/>
      <x:c r="H122" s="17" t="n">
        <x:f aca="0">F122*G122</x:f>
        <x:v>0</x:v>
      </x:c>
      <x:c r="I122" s="9" t="str">
        <x:v>Víz-csatorna</x:v>
      </x:c>
      <x:c r="J122" s="9"/>
    </x:row>
    <x:row r="123" ht="15" hidden="0">
      <x:c r="A123" s="8"/>
      <x:c r="B123" s="9" t="str">
        <x:v>Labour - plumber szerelés</x:v>
      </x:c>
      <x:c r="C123" s="7" t="str">
        <x:v>óra</x:v>
      </x:c>
      <x:c r="D123" s="16" t="n">
        <x:v>0.25</x:v>
      </x:c>
      <x:c r="E123" s="17" t="n">
        <x:f aca="0">E$116</x:f>
        <x:v>0</x:v>
      </x:c>
      <x:c r="F123" s="17" t="n">
        <x:f aca="0">D123*E123</x:f>
        <x:v>0</x:v>
      </x:c>
      <x:c r="G123" s="10"/>
      <x:c r="H123" s="17" t="n">
        <x:f aca="0">F123*G123</x:f>
        <x:v>0</x:v>
      </x:c>
      <x:c r="I123" s="9" t="str">
        <x:v>Munkaerő</x:v>
      </x:c>
      <x:c r="J123" s="9" t="str">
        <x:v>PPR faster than réz</x:v>
      </x:c>
    </x:row>
    <x:row r="124" ht="15" hidden="0">
      <x:c r="A124" s="8"/>
      <x:c r="B124" s="9" t="s">
        <x:v>197</x:v>
      </x:c>
      <x:c r="C124" s="7" t="str">
        <x:v>óra</x:v>
      </x:c>
      <x:c r="D124" s="16" t="n">
        <x:v>0.1</x:v>
      </x:c>
      <x:c r="E124" s="17" t="n">
        <x:f aca="0">E$116</x:f>
        <x:v>0</x:v>
      </x:c>
      <x:c r="F124" s="17" t="n">
        <x:f aca="0">D124*E124</x:f>
        <x:v>0</x:v>
      </x:c>
      <x:c r="G124" s="10"/>
      <x:c r="H124" s="17" t="n">
        <x:f aca="0">F124*G124</x:f>
        <x:v>0</x:v>
      </x:c>
      <x:c r="I124" s="9" t="str">
        <x:v>Munkaerő</x:v>
      </x:c>
      <x:c r="J124" s="9"/>
    </x:row>
    <x:row r="125" ht="15" hidden="0">
      <x:c r="A125" s="8"/>
      <x:c r="B125" s="9" t="str">
        <x:v>Labour - plumber tartószerkezetek</x:v>
      </x:c>
      <x:c r="C125" s="7" t="str">
        <x:v>óra</x:v>
      </x:c>
      <x:c r="D125" s="16" t="n">
        <x:v>0.08</x:v>
      </x:c>
      <x:c r="E125" s="17" t="n">
        <x:f aca="0">E$116</x:f>
        <x:v>0</x:v>
      </x:c>
      <x:c r="F125" s="17" t="n">
        <x:f aca="0">D125*E125</x:f>
        <x:v>0</x:v>
      </x:c>
      <x:c r="G125" s="10"/>
      <x:c r="H125" s="17" t="n">
        <x:f aca="0">F125*G125</x:f>
        <x:v>0</x:v>
      </x:c>
      <x:c r="I125" s="9" t="str">
        <x:v>Munkaerő</x:v>
      </x:c>
      <x:c r="J125" s="9"/>
    </x:row>
    <x:row r="126" ht="15" hidden="0">
      <x:c r="A126" s="8"/>
      <x:c r="B126" s="9" t="str">
        <x:v>Labour - nyomáspróba (arányosítva)</x:v>
      </x:c>
      <x:c r="C126" s="7" t="str">
        <x:v>óra</x:v>
      </x:c>
      <x:c r="D126" s="16" t="n">
        <x:v>0.05</x:v>
      </x:c>
      <x:c r="E126" s="17" t="n">
        <x:f aca="0">E$116</x:f>
        <x:v>0</x:v>
      </x:c>
      <x:c r="F126" s="17" t="n">
        <x:f aca="0">D126*E126</x:f>
        <x:v>0</x:v>
      </x:c>
      <x:c r="G126" s="10"/>
      <x:c r="H126" s="17" t="n">
        <x:f aca="0">F126*G126</x:f>
        <x:v>0</x:v>
      </x:c>
      <x:c r="I126" s="9" t="str">
        <x:v>Munkaerő</x:v>
      </x:c>
      <x:c r="J126" s="9"/>
    </x:row>
    <x:row r="127" ht="15" hidden="0">
      <x:c r="A127" s="8"/>
      <x:c r="B127" s="9" t="s">
        <x:v>193</x:v>
      </x:c>
      <x:c r="C127" s="7" t="str">
        <x:v>óra</x:v>
      </x:c>
      <x:c r="D127" s="16" t="n">
        <x:v>0.1</x:v>
      </x:c>
      <x:c r="E127" s="17" t="n">
        <x:f aca="0">E$116</x:f>
        <x:v>0</x:v>
      </x:c>
      <x:c r="F127" s="17" t="n">
        <x:f aca="0">D127*E127</x:f>
        <x:v>0</x:v>
      </x:c>
      <x:c r="G127" s="10"/>
      <x:c r="H127" s="17" t="n">
        <x:f aca="0">F127*G127</x:f>
        <x:v>0</x:v>
      </x:c>
      <x:c r="I127" s="9" t="str">
        <x:v>Gép</x:v>
      </x:c>
      <x:c r="J127" s="9"/>
    </x:row>
    <x:row r="128" ht="15" hidden="0">
      <x:c r="A128" s="18"/>
      <x:c r="B128" s="19" t="s">
        <x:v>198</x:v>
      </x:c>
      <x:c r="C128" s="18"/>
      <x:c r="D128" s="18"/>
      <x:c r="E128" s="18"/>
      <x:c r="F128" s="18"/>
      <x:c r="G128" s="18"/>
      <x:c r="H128" s="20" t="n">
        <x:f aca="0">SUM(H116:H127)</x:f>
        <x:v>0</x:v>
      </x:c>
      <x:c r="I128" s="18"/>
      <x:c r="J128" s="18"/>
    </x:row>
    <x:row r="130" ht="15" hidden="0">
      <x:c r="J130" s="13" t="str">
        <x:v>Mennyiségfelvétel hivatkozás 4.1</x:v>
      </x:c>
    </x:row>
    <x:row r="131" ht="15" hidden="0">
      <x:c r="A131" s="14" t="s">
        <x:v>155</x:v>
      </x:c>
      <x:c r="B131" s="15" t="str">
        <x:v>melegvíz unit - elektromos raktár (méret: ___)</x:v>
      </x:c>
      <x:c r="C131" s="7" t="str">
        <x:v>db</x:v>
      </x:c>
      <x:c r="D131" s="16" t="n">
        <x:v>1</x:v>
      </x:c>
      <x:c r="E131" s="11" t="n">
        <x:f aca="0">'Plumbing QTO'!M61</x:f>
        <x:v>0</x:v>
      </x:c>
      <x:c r="F131" s="17" t="n">
        <x:f aca="0">D131*E131</x:f>
        <x:v>0</x:v>
      </x:c>
      <x:c r="G131" s="10"/>
      <x:c r="H131" s="17" t="n">
        <x:f aca="0">F131*G131</x:f>
        <x:v>0</x:v>
      </x:c>
      <x:c r="I131" s="9" t="str">
        <x:v>Víz-csatorna</x:v>
      </x:c>
      <x:c r="J131" s="9" t="str">
        <x:v>csak anyagellátás</x:v>
      </x:c>
    </x:row>
    <x:row r="132" ht="15" hidden="0">
      <x:c r="A132" s="8"/>
      <x:c r="B132" s="9" t="str">
        <x:v>Tempering szelep / TMV</x:v>
      </x:c>
      <x:c r="C132" s="7" t="str">
        <x:v>db</x:v>
      </x:c>
      <x:c r="D132" s="16" t="n">
        <x:v>1</x:v>
      </x:c>
      <x:c r="E132" s="17" t="n">
        <x:f aca="0">E$131</x:f>
        <x:v>0</x:v>
      </x:c>
      <x:c r="F132" s="17" t="n">
        <x:f aca="0">D132*E132</x:f>
        <x:v>0</x:v>
      </x:c>
      <x:c r="G132" s="10"/>
      <x:c r="H132" s="17" t="n">
        <x:f aca="0">F132*G132</x:f>
        <x:v>0</x:v>
      </x:c>
      <x:c r="I132" s="9" t="str">
        <x:v>Víz-csatorna</x:v>
      </x:c>
      <x:c r="J132" s="9" t="str">
        <x:v>On melegvíz out</x:v>
      </x:c>
    </x:row>
    <x:row r="133" ht="15" hidden="0">
      <x:c r="A133" s="8"/>
      <x:c r="B133" s="9" t="str">
        <x:v>Expansion szabályozószelep</x:v>
      </x:c>
      <x:c r="C133" s="7" t="str">
        <x:v>db</x:v>
      </x:c>
      <x:c r="D133" s="16" t="n">
        <x:v>1</x:v>
      </x:c>
      <x:c r="E133" s="17" t="n">
        <x:f aca="0">E$131</x:f>
        <x:v>0</x:v>
      </x:c>
      <x:c r="F133" s="17" t="n">
        <x:f aca="0">D133*E133</x:f>
        <x:v>0</x:v>
      </x:c>
      <x:c r="G133" s="10"/>
      <x:c r="H133" s="17" t="n">
        <x:f aca="0">F133*G133</x:f>
        <x:v>0</x:v>
      </x:c>
      <x:c r="I133" s="9" t="str">
        <x:v>Víz-csatorna</x:v>
      </x:c>
      <x:c r="J133" s="9" t="str">
        <x:v> AS 3500</x:v>
      </x:c>
    </x:row>
    <x:row r="134" ht="15" hidden="0">
      <x:c r="A134" s="8"/>
      <x:c r="B134" s="9" t="str">
        <x:v>Pressure relief szelep / drain line</x:v>
      </x:c>
      <x:c r="C134" s="7" t="str">
        <x:v>klt.</x:v>
      </x:c>
      <x:c r="D134" s="16" t="n">
        <x:v>1</x:v>
      </x:c>
      <x:c r="E134" s="17" t="n">
        <x:f aca="0">E$131</x:f>
        <x:v>0</x:v>
      </x:c>
      <x:c r="F134" s="17" t="n">
        <x:f aca="0">D134*E134</x:f>
        <x:v>0</x:v>
      </x:c>
      <x:c r="G134" s="10"/>
      <x:c r="H134" s="17" t="n">
        <x:f aca="0">F134*G134</x:f>
        <x:v>0</x:v>
      </x:c>
      <x:c r="I134" s="9" t="str">
        <x:v>Víz-csatorna</x:v>
      </x:c>
      <x:c r="J134" s="9"/>
    </x:row>
    <x:row r="135" ht="15" hidden="0">
      <x:c r="A135" s="8"/>
      <x:c r="B135" s="9" t="s">
        <x:v>199</x:v>
      </x:c>
      <x:c r="C135" s="7" t="str">
        <x:v>db</x:v>
      </x:c>
      <x:c r="D135" s="16" t="n">
        <x:v>2</x:v>
      </x:c>
      <x:c r="E135" s="17" t="n">
        <x:f aca="0">E$131</x:f>
        <x:v>0</x:v>
      </x:c>
      <x:c r="F135" s="17" t="n">
        <x:f aca="0">D135*E135</x:f>
        <x:v>0</x:v>
      </x:c>
      <x:c r="G135" s="10"/>
      <x:c r="H135" s="17" t="n">
        <x:f aca="0">F135*G135</x:f>
        <x:v>0</x:v>
      </x:c>
      <x:c r="I135" s="9" t="str">
        <x:v>Víz-csatorna</x:v>
      </x:c>
      <x:c r="J135" s="9"/>
    </x:row>
    <x:row r="136" ht="15" hidden="0">
      <x:c r="A136" s="8"/>
      <x:c r="B136" s="9" t="str">
        <x:v>Mounting konzolok / stand</x:v>
      </x:c>
      <x:c r="C136" s="7" t="str">
        <x:v>klt.</x:v>
      </x:c>
      <x:c r="D136" s="16" t="n">
        <x:v>1</x:v>
      </x:c>
      <x:c r="E136" s="17" t="n">
        <x:f aca="0">E$131</x:f>
        <x:v>0</x:v>
      </x:c>
      <x:c r="F136" s="17" t="n">
        <x:f aca="0">D136*E136</x:f>
        <x:v>0</x:v>
      </x:c>
      <x:c r="G136" s="10"/>
      <x:c r="H136" s="17" t="n">
        <x:f aca="0">F136*G136</x:f>
        <x:v>0</x:v>
      </x:c>
      <x:c r="I136" s="9" t="str">
        <x:v>Víz-csatorna</x:v>
      </x:c>
      <x:c r="J136" s="9"/>
    </x:row>
    <x:row r="137" ht="15" hidden="0">
      <x:c r="A137" s="8"/>
      <x:c r="B137" s="9" t="str">
        <x:v>Drain line (PVC - tundish/padló waste)</x:v>
      </x:c>
      <x:c r="C137" s="7" t="str">
        <x:v>fm</x:v>
      </x:c>
      <x:c r="D137" s="16" t="n">
        <x:v>3</x:v>
      </x:c>
      <x:c r="E137" s="17" t="n">
        <x:f aca="0">E$131</x:f>
        <x:v>0</x:v>
      </x:c>
      <x:c r="F137" s="17" t="n">
        <x:f aca="0">D137*E137</x:f>
        <x:v>0</x:v>
      </x:c>
      <x:c r="G137" s="10"/>
      <x:c r="H137" s="17" t="n">
        <x:f aca="0">F137*G137</x:f>
        <x:v>0</x:v>
      </x:c>
      <x:c r="I137" s="9" t="str">
        <x:v>Víz-csatorna</x:v>
      </x:c>
      <x:c r="J137" s="9"/>
    </x:row>
    <x:row r="138" ht="15" hidden="0">
      <x:c r="A138" s="8"/>
      <x:c r="B138" s="9" t="str">
        <x:v>hidegvíz csatlakozás (DN20)</x:v>
      </x:c>
      <x:c r="C138" s="7" t="str">
        <x:v>fm</x:v>
      </x:c>
      <x:c r="D138" s="16" t="n">
        <x:v>2</x:v>
      </x:c>
      <x:c r="E138" s="17" t="n">
        <x:f aca="0">E$131</x:f>
        <x:v>0</x:v>
      </x:c>
      <x:c r="F138" s="17" t="n">
        <x:f aca="0">D138*E138</x:f>
        <x:v>0</x:v>
      </x:c>
      <x:c r="G138" s="10"/>
      <x:c r="H138" s="17" t="n">
        <x:f aca="0">F138*G138</x:f>
        <x:v>0</x:v>
      </x:c>
      <x:c r="I138" s="9" t="str">
        <x:v>Víz-csatorna</x:v>
      </x:c>
      <x:c r="J138" s="9"/>
    </x:row>
    <x:row r="139" ht="15" hidden="0">
      <x:c r="A139" s="8"/>
      <x:c r="B139" s="9" t="str">
        <x:v>melegvíz csatlakozás (DN20 réz)</x:v>
      </x:c>
      <x:c r="C139" s="7" t="str">
        <x:v>fm</x:v>
      </x:c>
      <x:c r="D139" s="16" t="n">
        <x:v>2</x:v>
      </x:c>
      <x:c r="E139" s="17" t="n">
        <x:f aca="0">E$131</x:f>
        <x:v>0</x:v>
      </x:c>
      <x:c r="F139" s="17" t="n">
        <x:f aca="0">D139*E139</x:f>
        <x:v>0</x:v>
      </x:c>
      <x:c r="G139" s="10"/>
      <x:c r="H139" s="17" t="n">
        <x:f aca="0">F139*G139</x:f>
        <x:v>0</x:v>
      </x:c>
      <x:c r="I139" s="9" t="str">
        <x:v>Víz-csatorna</x:v>
      </x:c>
      <x:c r="J139" s="9"/>
    </x:row>
    <x:row r="140" ht="15" hidden="0">
      <x:c r="A140" s="8"/>
      <x:c r="B140" s="9" t="str">
        <x:v>cső idomok + szigetelés</x:v>
      </x:c>
      <x:c r="C140" s="7" t="str">
        <x:v>klt.</x:v>
      </x:c>
      <x:c r="D140" s="16" t="n">
        <x:v>1</x:v>
      </x:c>
      <x:c r="E140" s="17" t="n">
        <x:f aca="0">E$131</x:f>
        <x:v>0</x:v>
      </x:c>
      <x:c r="F140" s="17" t="n">
        <x:f aca="0">D140*E140</x:f>
        <x:v>0</x:v>
      </x:c>
      <x:c r="G140" s="10"/>
      <x:c r="H140" s="17" t="n">
        <x:f aca="0">F140*G140</x:f>
        <x:v>0</x:v>
      </x:c>
      <x:c r="I140" s="9" t="str">
        <x:v>Víz-csatorna</x:v>
      </x:c>
      <x:c r="J140" s="9"/>
    </x:row>
    <x:row r="141" ht="15" hidden="0">
      <x:c r="A141" s="8"/>
      <x:c r="B141" s="9" t="s">
        <x:v>200</x:v>
      </x:c>
      <x:c r="C141" s="7" t="str">
        <x:v>db</x:v>
      </x:c>
      <x:c r="D141" s="16" t="n">
        <x:v>1</x:v>
      </x:c>
      <x:c r="E141" s="17" t="n">
        <x:f aca="0">E$131</x:f>
        <x:v>0</x:v>
      </x:c>
      <x:c r="F141" s="17" t="n">
        <x:f aca="0">D141*E141</x:f>
        <x:v>0</x:v>
      </x:c>
      <x:c r="G141" s="10"/>
      <x:c r="H141" s="17" t="n">
        <x:f aca="0">F141*G141</x:f>
        <x:v>0</x:v>
      </x:c>
      <x:c r="I141" s="9" t="str">
        <x:v>Elektromos</x:v>
      </x:c>
      <x:c r="J141" s="9" t="s">
        <x:v>201</x:v>
      </x:c>
    </x:row>
    <x:row r="142" ht="15" hidden="0">
      <x:c r="A142" s="8"/>
      <x:c r="B142" s="9" t="str">
        <x:v>Labour - plumber szerelés</x:v>
      </x:c>
      <x:c r="C142" s="7" t="str">
        <x:v>óra</x:v>
      </x:c>
      <x:c r="D142" s="16" t="n">
        <x:v>4</x:v>
      </x:c>
      <x:c r="E142" s="17" t="n">
        <x:f aca="0">E$131</x:f>
        <x:v>0</x:v>
      </x:c>
      <x:c r="F142" s="17" t="n">
        <x:f aca="0">D142*E142</x:f>
        <x:v>0</x:v>
      </x:c>
      <x:c r="G142" s="10"/>
      <x:c r="H142" s="17" t="n">
        <x:f aca="0">F142*G142</x:f>
        <x:v>0</x:v>
      </x:c>
      <x:c r="I142" s="9" t="str">
        <x:v>Munkaerő</x:v>
      </x:c>
      <x:c r="J142" s="9" t="str">
        <x:v>Mount, csatlakoztatás, valves</x:v>
      </x:c>
    </x:row>
    <x:row r="143" ht="15" hidden="0">
      <x:c r="A143" s="8"/>
      <x:c r="B143" s="9" t="s">
        <x:v>202</x:v>
      </x:c>
      <x:c r="C143" s="7" t="str">
        <x:v>óra</x:v>
      </x:c>
      <x:c r="D143" s="16" t="n">
        <x:v>1.5</x:v>
      </x:c>
      <x:c r="E143" s="17" t="n">
        <x:f aca="0">E$131</x:f>
        <x:v>0</x:v>
      </x:c>
      <x:c r="F143" s="17" t="n">
        <x:f aca="0">D143*E143</x:f>
        <x:v>0</x:v>
      </x:c>
      <x:c r="G143" s="10"/>
      <x:c r="H143" s="17" t="n">
        <x:f aca="0">F143*G143</x:f>
        <x:v>0</x:v>
      </x:c>
      <x:c r="I143" s="9" t="str">
        <x:v>Munkaerő</x:v>
      </x:c>
      <x:c r="J143" s="9"/>
    </x:row>
    <x:row r="144" ht="15" hidden="0">
      <x:c r="A144" s="8"/>
      <x:c r="B144" s="9" t="s">
        <x:v>203</x:v>
      </x:c>
      <x:c r="C144" s="7" t="str">
        <x:v>óra</x:v>
      </x:c>
      <x:c r="D144" s="16" t="n">
        <x:v>1</x:v>
      </x:c>
      <x:c r="E144" s="17" t="n">
        <x:f aca="0">E$131</x:f>
        <x:v>0</x:v>
      </x:c>
      <x:c r="F144" s="17" t="n">
        <x:f aca="0">D144*E144</x:f>
        <x:v>0</x:v>
      </x:c>
      <x:c r="G144" s="10"/>
      <x:c r="H144" s="17" t="n">
        <x:f aca="0">F144*G144</x:f>
        <x:v>0</x:v>
      </x:c>
      <x:c r="I144" s="9" t="str">
        <x:v>Munkaerő</x:v>
      </x:c>
      <x:c r="J144" s="9"/>
    </x:row>
    <x:row r="145" ht="15" hidden="0">
      <x:c r="A145" s="18"/>
      <x:c r="B145" s="19" t="s">
        <x:v>204</x:v>
      </x:c>
      <x:c r="C145" s="18"/>
      <x:c r="D145" s="18"/>
      <x:c r="E145" s="18"/>
      <x:c r="F145" s="18"/>
      <x:c r="G145" s="18"/>
      <x:c r="H145" s="20" t="n">
        <x:f aca="0">SUM(H131:H144)</x:f>
        <x:v>0</x:v>
      </x:c>
      <x:c r="I145" s="18"/>
      <x:c r="J145" s="18"/>
    </x:row>
    <x:row r="147" ht="15" hidden="0">
      <x:c r="J147" s="13" t="s">
        <x:v>205</x:v>
      </x:c>
    </x:row>
    <x:row r="148" ht="15" hidden="0">
      <x:c r="A148" s="14" t="s">
        <x:v>155</x:v>
      </x:c>
      <x:c r="B148" s="15" t="str">
        <x:v>Above-ground PVC vízelvezetés - DN100</x:v>
      </x:c>
      <x:c r="C148" s="7" t="str">
        <x:v>fm</x:v>
      </x:c>
      <x:c r="D148" s="16" t="n">
        <x:v>1</x:v>
      </x:c>
      <x:c r="E148" s="11" t="n">
        <x:f aca="0">'Plumbing QTO'!M77</x:f>
        <x:v>0</x:v>
      </x:c>
      <x:c r="F148" s="17" t="n">
        <x:f aca="0">D148*E148</x:f>
        <x:v>0</x:v>
      </x:c>
      <x:c r="G148" s="10"/>
      <x:c r="H148" s="17" t="n">
        <x:f aca="0">F148*G148</x:f>
        <x:v>0</x:v>
      </x:c>
      <x:c r="I148" s="9" t="str">
        <x:v>Víz-csatorna</x:v>
      </x:c>
      <x:c r="J148" s="9" t="str">
        <x:v>csak anyagellátás</x:v>
      </x:c>
    </x:row>
    <x:row r="149" ht="15" hidden="0">
      <x:c r="A149" s="8"/>
      <x:c r="B149" s="9" t="str">
        <x:v>vízelvezetés idomok (ív idomok/junctions/IOs)</x:v>
      </x:c>
      <x:c r="C149" s="7" t="str">
        <x:v>db</x:v>
      </x:c>
      <x:c r="D149" s="16" t="n">
        <x:v>0.4</x:v>
      </x:c>
      <x:c r="E149" s="17" t="n">
        <x:f aca="0">E$148</x:f>
        <x:v>0</x:v>
      </x:c>
      <x:c r="F149" s="17" t="n">
        <x:f aca="0">D149*E149</x:f>
        <x:v>0</x:v>
      </x:c>
      <x:c r="G149" s="10"/>
      <x:c r="H149" s="17" t="n">
        <x:f aca="0">F149*G149</x:f>
        <x:v>0</x:v>
      </x:c>
      <x:c r="I149" s="9" t="str">
        <x:v>Víz-csatorna</x:v>
      </x:c>
      <x:c r="J149" s="9" t="s">
        <x:v>187</x:v>
      </x:c>
    </x:row>
    <x:row r="150" ht="15" hidden="0">
      <x:c r="A150" s="8"/>
      <x:c r="B150" s="9" t="str">
        <x:v>cső függesztő / clip (riser bracket)</x:v>
      </x:c>
      <x:c r="C150" s="7" t="str">
        <x:v>klt.</x:v>
      </x:c>
      <x:c r="D150" s="16" t="n">
        <x:v>0.67</x:v>
      </x:c>
      <x:c r="E150" s="17" t="n">
        <x:f aca="0">E$148</x:f>
        <x:v>0</x:v>
      </x:c>
      <x:c r="F150" s="17" t="n">
        <x:f aca="0">D150*E150</x:f>
        <x:v>0</x:v>
      </x:c>
      <x:c r="G150" s="10"/>
      <x:c r="H150" s="17" t="n">
        <x:f aca="0">F150*G150</x:f>
        <x:v>0</x:v>
      </x:c>
      <x:c r="I150" s="9" t="str">
        <x:v>Víz-csatorna</x:v>
      </x:c>
      <x:c r="J150" s="9" t="s">
        <x:v>206</x:v>
      </x:c>
    </x:row>
    <x:row r="151" ht="15" hidden="0">
      <x:c r="A151" s="8"/>
      <x:c r="B151" s="9" t="s">
        <x:v>189</x:v>
      </x:c>
      <x:c r="C151" s="7" t="str">
        <x:v>db</x:v>
      </x:c>
      <x:c r="D151" s="16" t="n">
        <x:v>0.67</x:v>
      </x:c>
      <x:c r="E151" s="17" t="n">
        <x:f aca="0">E$148</x:f>
        <x:v>0</x:v>
      </x:c>
      <x:c r="F151" s="17" t="n">
        <x:f aca="0">D151*E151</x:f>
        <x:v>0</x:v>
      </x:c>
      <x:c r="G151" s="10"/>
      <x:c r="H151" s="17" t="n">
        <x:f aca="0">F151*G151</x:f>
        <x:v>0</x:v>
      </x:c>
      <x:c r="I151" s="9" t="str">
        <x:v>Víz-csatorna</x:v>
      </x:c>
      <x:c r="J151" s="9"/>
    </x:row>
    <x:row r="152" ht="15" hidden="0">
      <x:c r="A152" s="8"/>
      <x:c r="B152" s="9" t="s">
        <x:v>207</x:v>
      </x:c>
      <x:c r="C152" s="7" t="str">
        <x:v>fm</x:v>
      </x:c>
      <x:c r="D152" s="16" t="n">
        <x:v>1</x:v>
      </x:c>
      <x:c r="E152" s="17" t="n">
        <x:f aca="0">E$148</x:f>
        <x:v>0</x:v>
      </x:c>
      <x:c r="F152" s="17" t="n">
        <x:f aca="0">D152*E152</x:f>
        <x:v>0</x:v>
      </x:c>
      <x:c r="G152" s="10"/>
      <x:c r="H152" s="17" t="n">
        <x:f aca="0">F152*G152</x:f>
        <x:v>0</x:v>
      </x:c>
      <x:c r="I152" s="9" t="str">
        <x:v>Víz-csatorna</x:v>
      </x:c>
      <x:c r="J152" s="9"/>
    </x:row>
    <x:row r="153" ht="15" hidden="0">
      <x:c r="A153" s="8"/>
      <x:c r="B153" s="9" t="str">
        <x:v>cső identification marker</x:v>
      </x:c>
      <x:c r="C153" s="7" t="str">
        <x:v>db</x:v>
      </x:c>
      <x:c r="D153" s="16" t="n">
        <x:v>0.2</x:v>
      </x:c>
      <x:c r="E153" s="17" t="n">
        <x:f aca="0">E$148</x:f>
        <x:v>0</x:v>
      </x:c>
      <x:c r="F153" s="17" t="n">
        <x:f aca="0">D153*E153</x:f>
        <x:v>0</x:v>
      </x:c>
      <x:c r="G153" s="10"/>
      <x:c r="H153" s="17" t="n">
        <x:f aca="0">F153*G153</x:f>
        <x:v>0</x:v>
      </x:c>
      <x:c r="I153" s="9" t="str">
        <x:v>Víz-csatorna</x:v>
      </x:c>
      <x:c r="J153" s="9"/>
    </x:row>
    <x:row r="154" ht="15" hidden="0">
      <x:c r="A154" s="8"/>
      <x:c r="B154" s="9" t="str">
        <x:v>Sundries (tömítőanyag, tartószerkezetek)</x:v>
      </x:c>
      <x:c r="C154" s="7" t="str">
        <x:v>fm</x:v>
      </x:c>
      <x:c r="D154" s="16" t="n">
        <x:v>1</x:v>
      </x:c>
      <x:c r="E154" s="17" t="n">
        <x:f aca="0">E$148</x:f>
        <x:v>0</x:v>
      </x:c>
      <x:c r="F154" s="17" t="n">
        <x:f aca="0">D154*E154</x:f>
        <x:v>0</x:v>
      </x:c>
      <x:c r="G154" s="10"/>
      <x:c r="H154" s="17" t="n">
        <x:f aca="0">F154*G154</x:f>
        <x:v>0</x:v>
      </x:c>
      <x:c r="I154" s="9" t="str">
        <x:v>Víz-csatorna</x:v>
      </x:c>
      <x:c r="J154" s="9"/>
    </x:row>
    <x:row r="155" ht="15" hidden="0">
      <x:c r="A155" s="8"/>
      <x:c r="B155" s="9" t="str">
        <x:v>Labour - plumber szerelés</x:v>
      </x:c>
      <x:c r="C155" s="7" t="str">
        <x:v>óra</x:v>
      </x:c>
      <x:c r="D155" s="16" t="n">
        <x:v>0.35</x:v>
      </x:c>
      <x:c r="E155" s="17" t="n">
        <x:f aca="0">E$148</x:f>
        <x:v>0</x:v>
      </x:c>
      <x:c r="F155" s="17" t="n">
        <x:f aca="0">D155*E155</x:f>
        <x:v>0</x:v>
      </x:c>
      <x:c r="G155" s="10"/>
      <x:c r="H155" s="17" t="n">
        <x:f aca="0">F155*G155</x:f>
        <x:v>0</x:v>
      </x:c>
      <x:c r="I155" s="9" t="str">
        <x:v>Munkaerő</x:v>
      </x:c>
      <x:c r="J155" s="9" t="str">
        <x:v>klt. fall, glue, hang</x:v>
      </x:c>
    </x:row>
    <x:row r="156" ht="15" hidden="0">
      <x:c r="A156" s="8"/>
      <x:c r="B156" s="9" t="str">
        <x:v>Labour - plumber idomok</x:v>
      </x:c>
      <x:c r="C156" s="7" t="str">
        <x:v>óra</x:v>
      </x:c>
      <x:c r="D156" s="16" t="n">
        <x:v>0.15</x:v>
      </x:c>
      <x:c r="E156" s="17" t="n">
        <x:f aca="0">E$148</x:f>
        <x:v>0</x:v>
      </x:c>
      <x:c r="F156" s="17" t="n">
        <x:f aca="0">D156*E156</x:f>
        <x:v>0</x:v>
      </x:c>
      <x:c r="G156" s="10"/>
      <x:c r="H156" s="17" t="n">
        <x:f aca="0">F156*G156</x:f>
        <x:v>0</x:v>
      </x:c>
      <x:c r="I156" s="9" t="str">
        <x:v>Munkaerő</x:v>
      </x:c>
      <x:c r="J156" s="9"/>
    </x:row>
    <x:row r="157" ht="15" hidden="0">
      <x:c r="A157" s="8"/>
      <x:c r="B157" s="9" t="str">
        <x:v>Labour - plumber tartószerkezetek &amp; alignment</x:v>
      </x:c>
      <x:c r="C157" s="7" t="str">
        <x:v>óra</x:v>
      </x:c>
      <x:c r="D157" s="16" t="n">
        <x:v>0.1</x:v>
      </x:c>
      <x:c r="E157" s="17" t="n">
        <x:f aca="0">E$148</x:f>
        <x:v>0</x:v>
      </x:c>
      <x:c r="F157" s="17" t="n">
        <x:f aca="0">D157*E157</x:f>
        <x:v>0</x:v>
      </x:c>
      <x:c r="G157" s="10"/>
      <x:c r="H157" s="17" t="n">
        <x:f aca="0">F157*G157</x:f>
        <x:v>0</x:v>
      </x:c>
      <x:c r="I157" s="9" t="str">
        <x:v>Munkaerő</x:v>
      </x:c>
      <x:c r="J157" s="9" t="s">
        <x:v>208</x:v>
      </x:c>
    </x:row>
    <x:row r="158" ht="15" hidden="0">
      <x:c r="A158" s="8"/>
      <x:c r="B158" s="9" t="str">
        <x:v>Labour - vízelvezetés test (arányosítva)</x:v>
      </x:c>
      <x:c r="C158" s="7" t="str">
        <x:v>óra</x:v>
      </x:c>
      <x:c r="D158" s="16" t="n">
        <x:v>0.05</x:v>
      </x:c>
      <x:c r="E158" s="17" t="n">
        <x:f aca="0">E$148</x:f>
        <x:v>0</x:v>
      </x:c>
      <x:c r="F158" s="17" t="n">
        <x:f aca="0">D158*E158</x:f>
        <x:v>0</x:v>
      </x:c>
      <x:c r="G158" s="10"/>
      <x:c r="H158" s="17" t="n">
        <x:f aca="0">F158*G158</x:f>
        <x:v>0</x:v>
      </x:c>
      <x:c r="I158" s="9" t="str">
        <x:v>Munkaerő</x:v>
      </x:c>
      <x:c r="J158" s="9"/>
    </x:row>
    <x:row r="159" ht="15" hidden="0">
      <x:c r="A159" s="8"/>
      <x:c r="B159" s="9" t="s">
        <x:v>193</x:v>
      </x:c>
      <x:c r="C159" s="7" t="str">
        <x:v>óra</x:v>
      </x:c>
      <x:c r="D159" s="16" t="n">
        <x:v>0.15</x:v>
      </x:c>
      <x:c r="E159" s="17" t="n">
        <x:f aca="0">E$148</x:f>
        <x:v>0</x:v>
      </x:c>
      <x:c r="F159" s="17" t="n">
        <x:f aca="0">D159*E159</x:f>
        <x:v>0</x:v>
      </x:c>
      <x:c r="G159" s="10"/>
      <x:c r="H159" s="17" t="n">
        <x:f aca="0">F159*G159</x:f>
        <x:v>0</x:v>
      </x:c>
      <x:c r="I159" s="9" t="str">
        <x:v>Gép</x:v>
      </x:c>
      <x:c r="J159" s="9"/>
    </x:row>
    <x:row r="160" ht="15" hidden="0">
      <x:c r="A160" s="18"/>
      <x:c r="B160" s="19" t="s">
        <x:v>209</x:v>
      </x:c>
      <x:c r="C160" s="18"/>
      <x:c r="D160" s="18"/>
      <x:c r="E160" s="18"/>
      <x:c r="F160" s="18"/>
      <x:c r="G160" s="18"/>
      <x:c r="H160" s="20" t="n">
        <x:f aca="0">SUM(H148:H159)</x:f>
        <x:v>0</x:v>
      </x:c>
      <x:c r="I160" s="18"/>
      <x:c r="J160" s="18"/>
    </x:row>
    <x:row r="162" ht="15" hidden="0">
      <x:c r="J162" s="13" t="s">
        <x:v>210</x:v>
      </x:c>
    </x:row>
    <x:row r="163" ht="15" hidden="0">
      <x:c r="A163" s="14" t="s">
        <x:v>155</x:v>
      </x:c>
      <x:c r="B163" s="15" t="str">
        <x:v>Below-ground PVC vízelvezetés - DN100</x:v>
      </x:c>
      <x:c r="C163" s="7" t="str">
        <x:v>fm</x:v>
      </x:c>
      <x:c r="D163" s="16" t="n">
        <x:v>1</x:v>
      </x:c>
      <x:c r="E163" s="11" t="n">
        <x:f aca="0">'Plumbing QTO'!M82</x:f>
        <x:v>0</x:v>
      </x:c>
      <x:c r="F163" s="17" t="n">
        <x:f aca="0">D163*E163</x:f>
        <x:v>0</x:v>
      </x:c>
      <x:c r="G163" s="10"/>
      <x:c r="H163" s="17" t="n">
        <x:f aca="0">F163*G163</x:f>
        <x:v>0</x:v>
      </x:c>
      <x:c r="I163" s="9" t="str">
        <x:v>Víz-csatorna</x:v>
      </x:c>
      <x:c r="J163" s="9" t="str">
        <x:v>csak anyagellátás</x:v>
      </x:c>
    </x:row>
    <x:row r="164" ht="15" hidden="0">
      <x:c r="A164" s="8"/>
      <x:c r="B164" s="9" t="str">
        <x:v>vízelvezetés idomok (ív idomok/junctions)</x:v>
      </x:c>
      <x:c r="C164" s="7" t="str">
        <x:v>db</x:v>
      </x:c>
      <x:c r="D164" s="16" t="n">
        <x:v>0.3</x:v>
      </x:c>
      <x:c r="E164" s="17" t="n">
        <x:f aca="0">E$163</x:f>
        <x:v>0</x:v>
      </x:c>
      <x:c r="F164" s="17" t="n">
        <x:f aca="0">D164*E164</x:f>
        <x:v>0</x:v>
      </x:c>
      <x:c r="G164" s="10"/>
      <x:c r="H164" s="17" t="n">
        <x:f aca="0">F164*G164</x:f>
        <x:v>0</x:v>
      </x:c>
      <x:c r="I164" s="9" t="str">
        <x:v>Víz-csatorna</x:v>
      </x:c>
      <x:c r="J164" s="9" t="s">
        <x:v>211</x:v>
      </x:c>
    </x:row>
    <x:row r="165" ht="15" hidden="0">
      <x:c r="A165" s="8"/>
      <x:c r="B165" s="9" t="s">
        <x:v>207</x:v>
      </x:c>
      <x:c r="C165" s="7" t="str">
        <x:v>fm</x:v>
      </x:c>
      <x:c r="D165" s="16" t="n">
        <x:v>1</x:v>
      </x:c>
      <x:c r="E165" s="17" t="n">
        <x:f aca="0">E$163</x:f>
        <x:v>0</x:v>
      </x:c>
      <x:c r="F165" s="17" t="n">
        <x:f aca="0">D165*E165</x:f>
        <x:v>0</x:v>
      </x:c>
      <x:c r="G165" s="10"/>
      <x:c r="H165" s="17" t="n">
        <x:f aca="0">F165*G165</x:f>
        <x:v>0</x:v>
      </x:c>
      <x:c r="I165" s="9" t="str">
        <x:v>Víz-csatorna</x:v>
      </x:c>
      <x:c r="J165" s="9"/>
    </x:row>
    <x:row r="166" ht="15" hidden="0">
      <x:c r="A166" s="8"/>
      <x:c r="B166" s="9" t="str">
        <x:v>ágyazat sand</x:v>
      </x:c>
      <x:c r="C166" s="7" t="s">
        <x:v>212</x:v>
      </x:c>
      <x:c r="D166" s="16" t="n">
        <x:v>0.05</x:v>
      </x:c>
      <x:c r="E166" s="17" t="n">
        <x:f aca="0">E$163</x:f>
        <x:v>0</x:v>
      </x:c>
      <x:c r="F166" s="17" t="n">
        <x:f aca="0">D166*E166</x:f>
        <x:v>0</x:v>
      </x:c>
      <x:c r="G166" s="10"/>
      <x:c r="H166" s="17" t="n">
        <x:f aca="0">F166*G166</x:f>
        <x:v>0</x:v>
      </x:c>
      <x:c r="I166" s="9" t="str">
        <x:v>Mélyépítés</x:v>
      </x:c>
      <x:c r="J166" s="9" t="s">
        <x:v>213</x:v>
      </x:c>
    </x:row>
    <x:row r="167" ht="15" hidden="0">
      <x:c r="A167" s="8"/>
      <x:c r="B167" s="9" t="str">
        <x:v>Marker szalag</x:v>
      </x:c>
      <x:c r="C167" s="7" t="str">
        <x:v>fm</x:v>
      </x:c>
      <x:c r="D167" s="16" t="n">
        <x:v>1</x:v>
      </x:c>
      <x:c r="E167" s="17" t="n">
        <x:f aca="0">E$163</x:f>
        <x:v>0</x:v>
      </x:c>
      <x:c r="F167" s="17" t="n">
        <x:f aca="0">D167*E167</x:f>
        <x:v>0</x:v>
      </x:c>
      <x:c r="G167" s="10"/>
      <x:c r="H167" s="17" t="n">
        <x:f aca="0">F167*G167</x:f>
        <x:v>0</x:v>
      </x:c>
      <x:c r="I167" s="9" t="str">
        <x:v>Víz-csatorna</x:v>
      </x:c>
      <x:c r="J167" s="9" t="str">
        <x:v>cső felett</x:v>
      </x:c>
    </x:row>
    <x:row r="168" ht="15" hidden="0">
      <x:c r="A168" s="8"/>
      <x:c r="B168" s="9" t="s">
        <x:v>196</x:v>
      </x:c>
      <x:c r="C168" s="7" t="str">
        <x:v>fm</x:v>
      </x:c>
      <x:c r="D168" s="16" t="n">
        <x:v>1</x:v>
      </x:c>
      <x:c r="E168" s="17" t="n">
        <x:f aca="0">E$163</x:f>
        <x:v>0</x:v>
      </x:c>
      <x:c r="F168" s="17" t="n">
        <x:f aca="0">D168*E168</x:f>
        <x:v>0</x:v>
      </x:c>
      <x:c r="G168" s="10"/>
      <x:c r="H168" s="17" t="n">
        <x:f aca="0">F168*G168</x:f>
        <x:v>0</x:v>
      </x:c>
      <x:c r="I168" s="9" t="str">
        <x:v>Víz-csatorna</x:v>
      </x:c>
      <x:c r="J168" s="9"/>
    </x:row>
    <x:row r="169" ht="15" hidden="0">
      <x:c r="A169" s="8"/>
      <x:c r="B169" s="9" t="s">
        <x:v>214</x:v>
      </x:c>
      <x:c r="C169" s="7" t="str">
        <x:v>óra</x:v>
      </x:c>
      <x:c r="D169" s="16" t="n">
        <x:v>0.25</x:v>
      </x:c>
      <x:c r="E169" s="17" t="n">
        <x:f aca="0">E$163</x:f>
        <x:v>0</x:v>
      </x:c>
      <x:c r="F169" s="17" t="n">
        <x:f aca="0">D169*E169</x:f>
        <x:v>0</x:v>
      </x:c>
      <x:c r="G169" s="10"/>
      <x:c r="H169" s="17" t="n">
        <x:f aca="0">F169*G169</x:f>
        <x:v>0</x:v>
      </x:c>
      <x:c r="I169" s="9" t="str">
        <x:v>Munkaerő</x:v>
      </x:c>
      <x:c r="J169" s="9" t="s">
        <x:v>215</x:v>
      </x:c>
    </x:row>
    <x:row r="170" ht="15" hidden="0">
      <x:c r="A170" s="8"/>
      <x:c r="B170" s="9" t="str">
        <x:v>Labour - labourer (munkaárok assist)</x:v>
      </x:c>
      <x:c r="C170" s="7" t="str">
        <x:v>óra</x:v>
      </x:c>
      <x:c r="D170" s="16" t="n">
        <x:v>0.4</x:v>
      </x:c>
      <x:c r="E170" s="17" t="n">
        <x:f aca="0">E$163</x:f>
        <x:v>0</x:v>
      </x:c>
      <x:c r="F170" s="17" t="n">
        <x:f aca="0">D170*E170</x:f>
        <x:v>0</x:v>
      </x:c>
      <x:c r="G170" s="10"/>
      <x:c r="H170" s="17" t="n">
        <x:f aca="0">F170*G170</x:f>
        <x:v>0</x:v>
      </x:c>
      <x:c r="I170" s="9" t="str">
        <x:v>Munkaerő</x:v>
      </x:c>
      <x:c r="J170" s="9"/>
    </x:row>
    <x:row r="171" ht="15" hidden="0">
      <x:c r="A171" s="8"/>
      <x:c r="B171" s="9" t="str">
        <x:v>kotró (trenching)</x:v>
      </x:c>
      <x:c r="C171" s="7" t="str">
        <x:v>óra</x:v>
      </x:c>
      <x:c r="D171" s="16" t="n">
        <x:v>0.15</x:v>
      </x:c>
      <x:c r="E171" s="17" t="n">
        <x:f aca="0">E$163</x:f>
        <x:v>0</x:v>
      </x:c>
      <x:c r="F171" s="17" t="n">
        <x:f aca="0">D171*E171</x:f>
        <x:v>0</x:v>
      </x:c>
      <x:c r="G171" s="10"/>
      <x:c r="H171" s="17" t="n">
        <x:f aca="0">F171*G171</x:f>
        <x:v>0</x:v>
      </x:c>
      <x:c r="I171" s="9" t="str">
        <x:v>Gép</x:v>
      </x:c>
      <x:c r="J171" s="9" t="s">
        <x:v>216</x:v>
      </x:c>
    </x:row>
    <x:row r="172" ht="15" hidden="0">
      <x:c r="A172" s="8"/>
      <x:c r="B172" s="9" t="str">
        <x:v>visszatöltés &amp; tömörítés</x:v>
      </x:c>
      <x:c r="C172" s="7" t="str">
        <x:v>óra</x:v>
      </x:c>
      <x:c r="D172" s="16" t="n">
        <x:v>0.15</x:v>
      </x:c>
      <x:c r="E172" s="17" t="n">
        <x:f aca="0">E$163</x:f>
        <x:v>0</x:v>
      </x:c>
      <x:c r="F172" s="17" t="n">
        <x:f aca="0">D172*E172</x:f>
        <x:v>0</x:v>
      </x:c>
      <x:c r="G172" s="10"/>
      <x:c r="H172" s="17" t="n">
        <x:f aca="0">F172*G172</x:f>
        <x:v>0</x:v>
      </x:c>
      <x:c r="I172" s="9" t="str">
        <x:v>Gép</x:v>
      </x:c>
      <x:c r="J172" s="9" t="s">
        <x:v>217</x:v>
      </x:c>
    </x:row>
    <x:row r="173" ht="15" hidden="0">
      <x:c r="A173" s="18"/>
      <x:c r="B173" s="19" t="s">
        <x:v>218</x:v>
      </x:c>
      <x:c r="C173" s="18"/>
      <x:c r="D173" s="18"/>
      <x:c r="E173" s="18"/>
      <x:c r="F173" s="18"/>
      <x:c r="G173" s="18"/>
      <x:c r="H173" s="20" t="n">
        <x:f aca="0">SUM(H163:H172)</x:f>
        <x:v>0</x:v>
      </x:c>
      <x:c r="I173" s="18"/>
      <x:c r="J173" s="18"/>
    </x:row>
    <x:row r="175" ht="15" hidden="0">
      <x:c r="J175" s="13" t="s">
        <x:v>219</x:v>
      </x:c>
    </x:row>
    <x:row r="176" ht="15" hidden="0">
      <x:c r="A176" s="14" t="s">
        <x:v>155</x:v>
      </x:c>
      <x:c r="B176" s="15" t="str">
        <x:v>padló waste / padló gully</x:v>
      </x:c>
      <x:c r="C176" s="7" t="str">
        <x:v>db</x:v>
      </x:c>
      <x:c r="D176" s="16" t="n">
        <x:v>1</x:v>
      </x:c>
      <x:c r="E176" s="11" t="n">
        <x:f aca="0">'Plumbing QTO'!M86</x:f>
        <x:v>0</x:v>
      </x:c>
      <x:c r="F176" s="17" t="n">
        <x:f aca="0">D176*E176</x:f>
        <x:v>0</x:v>
      </x:c>
      <x:c r="G176" s="10"/>
      <x:c r="H176" s="17" t="n">
        <x:f aca="0">F176*G176</x:f>
        <x:v>0</x:v>
      </x:c>
      <x:c r="I176" s="9" t="str">
        <x:v>Víz-csatorna</x:v>
      </x:c>
      <x:c r="J176" s="9" t="str">
        <x:v>csak anyagellátás</x:v>
      </x:c>
    </x:row>
    <x:row r="177" ht="15" hidden="0">
      <x:c r="A177" s="8"/>
      <x:c r="B177" s="9" t="str">
        <x:v>Grate / szűrő (chrome)</x:v>
      </x:c>
      <x:c r="C177" s="7" t="str">
        <x:v>db</x:v>
      </x:c>
      <x:c r="D177" s="16" t="n">
        <x:v>1</x:v>
      </x:c>
      <x:c r="E177" s="17" t="n">
        <x:f aca="0">E$176</x:f>
        <x:v>0</x:v>
      </x:c>
      <x:c r="F177" s="17" t="n">
        <x:f aca="0">D177*E177</x:f>
        <x:v>0</x:v>
      </x:c>
      <x:c r="G177" s="10"/>
      <x:c r="H177" s="17" t="n">
        <x:f aca="0">F177*G177</x:f>
        <x:v>0</x:v>
      </x:c>
      <x:c r="I177" s="9" t="str">
        <x:v>Víz-csatorna</x:v>
      </x:c>
      <x:c r="J177" s="9"/>
    </x:row>
    <x:row r="178" ht="15" hidden="0">
      <x:c r="A178" s="8"/>
      <x:c r="B178" s="9" t="s">
        <x:v>220</x:v>
      </x:c>
      <x:c r="C178" s="7" t="str">
        <x:v>db</x:v>
      </x:c>
      <x:c r="D178" s="16" t="n">
        <x:v>1</x:v>
      </x:c>
      <x:c r="E178" s="17" t="n">
        <x:f aca="0">E$176</x:f>
        <x:v>0</x:v>
      </x:c>
      <x:c r="F178" s="17" t="n">
        <x:f aca="0">D178*E178</x:f>
        <x:v>0</x:v>
      </x:c>
      <x:c r="G178" s="10"/>
      <x:c r="H178" s="17" t="n">
        <x:f aca="0">F178*G178</x:f>
        <x:v>0</x:v>
      </x:c>
      <x:c r="I178" s="9" t="str">
        <x:v>Víz-csatorna</x:v>
      </x:c>
      <x:c r="J178" s="9"/>
    </x:row>
    <x:row r="179" ht="15" hidden="0">
      <x:c r="A179" s="8"/>
      <x:c r="B179" s="9" t="str">
        <x:v>Branch waste cső (PVC DN50)</x:v>
      </x:c>
      <x:c r="C179" s="7" t="str">
        <x:v>fm</x:v>
      </x:c>
      <x:c r="D179" s="16" t="n">
        <x:v>2</x:v>
      </x:c>
      <x:c r="E179" s="17" t="n">
        <x:f aca="0">E$176</x:f>
        <x:v>0</x:v>
      </x:c>
      <x:c r="F179" s="17" t="n">
        <x:f aca="0">D179*E179</x:f>
        <x:v>0</x:v>
      </x:c>
      <x:c r="G179" s="10"/>
      <x:c r="H179" s="17" t="n">
        <x:f aca="0">F179*G179</x:f>
        <x:v>0</x:v>
      </x:c>
      <x:c r="I179" s="9" t="str">
        <x:v>Víz-csatorna</x:v>
      </x:c>
      <x:c r="J179" s="9" t="s">
        <x:v>221</x:v>
      </x:c>
    </x:row>
    <x:row r="180" ht="15" hidden="0">
      <x:c r="A180" s="8"/>
      <x:c r="B180" s="9" t="str">
        <x:v>cső idomok</x:v>
      </x:c>
      <x:c r="C180" s="7" t="str">
        <x:v>db</x:v>
      </x:c>
      <x:c r="D180" s="16" t="n">
        <x:v>3</x:v>
      </x:c>
      <x:c r="E180" s="17" t="n">
        <x:f aca="0">E$176</x:f>
        <x:v>0</x:v>
      </x:c>
      <x:c r="F180" s="17" t="n">
        <x:f aca="0">D180*E180</x:f>
        <x:v>0</x:v>
      </x:c>
      <x:c r="G180" s="10"/>
      <x:c r="H180" s="17" t="n">
        <x:f aca="0">F180*G180</x:f>
        <x:v>0</x:v>
      </x:c>
      <x:c r="I180" s="9" t="str">
        <x:v>Víz-csatorna</x:v>
      </x:c>
      <x:c r="J180" s="9"/>
    </x:row>
    <x:row r="181" ht="15" hidden="0">
      <x:c r="A181" s="8"/>
      <x:c r="B181" s="9" t="s">
        <x:v>222</x:v>
      </x:c>
      <x:c r="C181" s="7" t="str">
        <x:v>fm</x:v>
      </x:c>
      <x:c r="D181" s="16" t="n">
        <x:v>0.25</x:v>
      </x:c>
      <x:c r="E181" s="17" t="n">
        <x:f aca="0">E$176</x:f>
        <x:v>0</x:v>
      </x:c>
      <x:c r="F181" s="17" t="n">
        <x:f aca="0">D181*E181</x:f>
        <x:v>0</x:v>
      </x:c>
      <x:c r="G181" s="10"/>
      <x:c r="H181" s="17" t="n">
        <x:f aca="0">F181*G181</x:f>
        <x:v>0</x:v>
      </x:c>
      <x:c r="I181" s="9" t="str">
        <x:v>Víz-csatorna</x:v>
      </x:c>
      <x:c r="J181" s="9"/>
    </x:row>
    <x:row r="182" ht="15" hidden="0">
      <x:c r="A182" s="8"/>
      <x:c r="B182" s="9" t="str">
        <x:v>szilikon tömítőanyag</x:v>
      </x:c>
      <x:c r="C182" s="7" t="str">
        <x:v>tubus</x:v>
      </x:c>
      <x:c r="D182" s="16" t="n">
        <x:v>0.25</x:v>
      </x:c>
      <x:c r="E182" s="17" t="n">
        <x:f aca="0">E$176</x:f>
        <x:v>0</x:v>
      </x:c>
      <x:c r="F182" s="17" t="n">
        <x:f aca="0">D182*E182</x:f>
        <x:v>0</x:v>
      </x:c>
      <x:c r="G182" s="10"/>
      <x:c r="H182" s="17" t="n">
        <x:f aca="0">F182*G182</x:f>
        <x:v>0</x:v>
      </x:c>
      <x:c r="I182" s="9" t="str">
        <x:v>Víz-csatorna</x:v>
      </x:c>
      <x:c r="J182" s="9"/>
    </x:row>
    <x:row r="183" ht="15" hidden="0">
      <x:c r="A183" s="8"/>
      <x:c r="B183" s="9" t="str">
        <x:v>cső szigetelés/lagging (where in slab)</x:v>
      </x:c>
      <x:c r="C183" s="7" t="str">
        <x:v>fm</x:v>
      </x:c>
      <x:c r="D183" s="16" t="n">
        <x:v>0.5</x:v>
      </x:c>
      <x:c r="E183" s="17" t="n">
        <x:f aca="0">E$176</x:f>
        <x:v>0</x:v>
      </x:c>
      <x:c r="F183" s="17" t="n">
        <x:f aca="0">D183*E183</x:f>
        <x:v>0</x:v>
      </x:c>
      <x:c r="G183" s="10"/>
      <x:c r="H183" s="17" t="n">
        <x:f aca="0">F183*G183</x:f>
        <x:v>0</x:v>
      </x:c>
      <x:c r="I183" s="9" t="str">
        <x:v>Víz-csatorna</x:v>
      </x:c>
      <x:c r="J183" s="9"/>
    </x:row>
    <x:row r="184" ht="15" hidden="0">
      <x:c r="A184" s="8"/>
      <x:c r="B184" s="9" t="s">
        <x:v>223</x:v>
      </x:c>
      <x:c r="C184" s="7" t="str">
        <x:v>óra</x:v>
      </x:c>
      <x:c r="D184" s="16" t="n">
        <x:v>0.75</x:v>
      </x:c>
      <x:c r="E184" s="17" t="n">
        <x:f aca="0">E$176</x:f>
        <x:v>0</x:v>
      </x:c>
      <x:c r="F184" s="17" t="n">
        <x:f aca="0">D184*E184</x:f>
        <x:v>0</x:v>
      </x:c>
      <x:c r="G184" s="10"/>
      <x:c r="H184" s="17" t="n">
        <x:f aca="0">F184*G184</x:f>
        <x:v>0</x:v>
      </x:c>
      <x:c r="I184" s="9" t="str">
        <x:v>Munkaerő</x:v>
      </x:c>
      <x:c r="J184" s="9" t="str">
        <x:v>klt. level for waterproofing</x:v>
      </x:c>
    </x:row>
    <x:row r="185" ht="15" hidden="0">
      <x:c r="A185" s="8"/>
      <x:c r="B185" s="9" t="s">
        <x:v>224</x:v>
      </x:c>
      <x:c r="C185" s="7" t="str">
        <x:v>óra</x:v>
      </x:c>
      <x:c r="D185" s="16" t="n">
        <x:v>0.25</x:v>
      </x:c>
      <x:c r="E185" s="17" t="n">
        <x:f aca="0">E$176</x:f>
        <x:v>0</x:v>
      </x:c>
      <x:c r="F185" s="17" t="n">
        <x:f aca="0">D185*E185</x:f>
        <x:v>0</x:v>
      </x:c>
      <x:c r="G185" s="10"/>
      <x:c r="H185" s="17" t="n">
        <x:f aca="0">F185*G185</x:f>
        <x:v>0</x:v>
      </x:c>
      <x:c r="I185" s="9" t="str">
        <x:v>Munkaerő</x:v>
      </x:c>
      <x:c r="J185" s="9" t="str">
        <x:v>Post-burkolólap</x:v>
      </x:c>
    </x:row>
    <x:row r="186" ht="15" hidden="0">
      <x:c r="A186" s="18"/>
      <x:c r="B186" s="19" t="s">
        <x:v>225</x:v>
      </x:c>
      <x:c r="C186" s="18"/>
      <x:c r="D186" s="18"/>
      <x:c r="E186" s="18"/>
      <x:c r="F186" s="18"/>
      <x:c r="G186" s="18"/>
      <x:c r="H186" s="20" t="n">
        <x:f aca="0">SUM(H176:H185)</x:f>
        <x:v>0</x:v>
      </x:c>
      <x:c r="I186" s="18"/>
      <x:c r="J186" s="18"/>
    </x:row>
    <x:row r="188" ht="15" hidden="0">
      <x:c r="J188" s="13" t="s">
        <x:v>226</x:v>
      </x:c>
    </x:row>
    <x:row r="189" ht="15" hidden="0">
      <x:c r="A189" s="14" t="s">
        <x:v>155</x:v>
      </x:c>
      <x:c r="B189" s="15" t="s">
        <x:v>97</x:v>
      </x:c>
      <x:c r="C189" s="7" t="str">
        <x:v>fm</x:v>
      </x:c>
      <x:c r="D189" s="16" t="n">
        <x:v>1</x:v>
      </x:c>
      <x:c r="E189" s="11" t="n">
        <x:f aca="0">'Plumbing QTO'!M98</x:f>
        <x:v>0</x:v>
      </x:c>
      <x:c r="F189" s="17" t="n">
        <x:f aca="0">D189*E189</x:f>
        <x:v>0</x:v>
      </x:c>
      <x:c r="G189" s="10"/>
      <x:c r="H189" s="17" t="n">
        <x:f aca="0">F189*G189</x:f>
        <x:v>0</x:v>
      </x:c>
      <x:c r="I189" s="9" t="str">
        <x:v>Víz-csatorna</x:v>
      </x:c>
      <x:c r="J189" s="9" t="str">
        <x:v>csak anyagellátás</x:v>
      </x:c>
    </x:row>
    <x:row r="190" ht="15" hidden="0">
      <x:c r="A190" s="8"/>
      <x:c r="B190" s="9" t="str">
        <x:v>cső idomok (ív idomok/junctions)</x:v>
      </x:c>
      <x:c r="C190" s="7" t="str">
        <x:v>db</x:v>
      </x:c>
      <x:c r="D190" s="16" t="n">
        <x:v>0.25</x:v>
      </x:c>
      <x:c r="E190" s="17" t="n">
        <x:f aca="0">E$189</x:f>
        <x:v>0</x:v>
      </x:c>
      <x:c r="F190" s="17" t="n">
        <x:f aca="0">D190*E190</x:f>
        <x:v>0</x:v>
      </x:c>
      <x:c r="G190" s="10"/>
      <x:c r="H190" s="17" t="n">
        <x:f aca="0">F190*G190</x:f>
        <x:v>0</x:v>
      </x:c>
      <x:c r="I190" s="9" t="str">
        <x:v>Víz-csatorna</x:v>
      </x:c>
      <x:c r="J190" s="9" t="s">
        <x:v>227</x:v>
      </x:c>
    </x:row>
    <x:row r="191" ht="15" hidden="0">
      <x:c r="A191" s="8"/>
      <x:c r="B191" s="9" t="s">
        <x:v>228</x:v>
      </x:c>
      <x:c r="C191" s="7" t="str">
        <x:v>klt.</x:v>
      </x:c>
      <x:c r="D191" s="16" t="n">
        <x:v>0.67</x:v>
      </x:c>
      <x:c r="E191" s="17" t="n">
        <x:f aca="0">E$189</x:f>
        <x:v>0</x:v>
      </x:c>
      <x:c r="F191" s="17" t="n">
        <x:f aca="0">D191*E191</x:f>
        <x:v>0</x:v>
      </x:c>
      <x:c r="G191" s="10"/>
      <x:c r="H191" s="17" t="n">
        <x:f aca="0">F191*G191</x:f>
        <x:v>0</x:v>
      </x:c>
      <x:c r="I191" s="9" t="str">
        <x:v>Víz-csatorna</x:v>
      </x:c>
      <x:c r="J191" s="9" t="s">
        <x:v>188</x:v>
      </x:c>
    </x:row>
    <x:row r="192" ht="15" hidden="0">
      <x:c r="A192" s="8"/>
      <x:c r="B192" s="9" t="s">
        <x:v>189</x:v>
      </x:c>
      <x:c r="C192" s="7" t="str">
        <x:v>db</x:v>
      </x:c>
      <x:c r="D192" s="16" t="n">
        <x:v>0.67</x:v>
      </x:c>
      <x:c r="E192" s="17" t="n">
        <x:f aca="0">E$189</x:f>
        <x:v>0</x:v>
      </x:c>
      <x:c r="F192" s="17" t="n">
        <x:f aca="0">D192*E192</x:f>
        <x:v>0</x:v>
      </x:c>
      <x:c r="G192" s="10"/>
      <x:c r="H192" s="17" t="n">
        <x:f aca="0">F192*G192</x:f>
        <x:v>0</x:v>
      </x:c>
      <x:c r="I192" s="9" t="str">
        <x:v>Víz-csatorna</x:v>
      </x:c>
      <x:c r="J192" s="9"/>
    </x:row>
    <x:row r="193" ht="15" hidden="0">
      <x:c r="A193" s="8"/>
      <x:c r="B193" s="9" t="s">
        <x:v>207</x:v>
      </x:c>
      <x:c r="C193" s="7" t="str">
        <x:v>fm</x:v>
      </x:c>
      <x:c r="D193" s="16" t="n">
        <x:v>1</x:v>
      </x:c>
      <x:c r="E193" s="17" t="n">
        <x:f aca="0">E$189</x:f>
        <x:v>0</x:v>
      </x:c>
      <x:c r="F193" s="17" t="n">
        <x:f aca="0">D193*E193</x:f>
        <x:v>0</x:v>
      </x:c>
      <x:c r="G193" s="10"/>
      <x:c r="H193" s="17" t="n">
        <x:f aca="0">F193*G193</x:f>
        <x:v>0</x:v>
      </x:c>
      <x:c r="I193" s="9" t="str">
        <x:v>Víz-csatorna</x:v>
      </x:c>
      <x:c r="J193" s="9"/>
    </x:row>
    <x:row r="194" ht="15" hidden="0">
      <x:c r="A194" s="8"/>
      <x:c r="B194" s="9" t="s">
        <x:v>196</x:v>
      </x:c>
      <x:c r="C194" s="7" t="str">
        <x:v>fm</x:v>
      </x:c>
      <x:c r="D194" s="16" t="n">
        <x:v>1</x:v>
      </x:c>
      <x:c r="E194" s="17" t="n">
        <x:f aca="0">E$189</x:f>
        <x:v>0</x:v>
      </x:c>
      <x:c r="F194" s="17" t="n">
        <x:f aca="0">D194*E194</x:f>
        <x:v>0</x:v>
      </x:c>
      <x:c r="G194" s="10"/>
      <x:c r="H194" s="17" t="n">
        <x:f aca="0">F194*G194</x:f>
        <x:v>0</x:v>
      </x:c>
      <x:c r="I194" s="9" t="str">
        <x:v>Víz-csatorna</x:v>
      </x:c>
      <x:c r="J194" s="9"/>
    </x:row>
    <x:row r="195" ht="15" hidden="0">
      <x:c r="A195" s="8"/>
      <x:c r="B195" s="9" t="str">
        <x:v>Labour - plumber szerelés</x:v>
      </x:c>
      <x:c r="C195" s="7" t="str">
        <x:v>óra</x:v>
      </x:c>
      <x:c r="D195" s="16" t="n">
        <x:v>0.2</x:v>
      </x:c>
      <x:c r="E195" s="17" t="n">
        <x:f aca="0">E$189</x:f>
        <x:v>0</x:v>
      </x:c>
      <x:c r="F195" s="17" t="n">
        <x:f aca="0">D195*E195</x:f>
        <x:v>0</x:v>
      </x:c>
      <x:c r="G195" s="10"/>
      <x:c r="H195" s="17" t="n">
        <x:f aca="0">F195*G195</x:f>
        <x:v>0</x:v>
      </x:c>
      <x:c r="I195" s="9" t="str">
        <x:v>Munkaerő</x:v>
      </x:c>
      <x:c r="J195" s="9"/>
    </x:row>
    <x:row r="196" ht="15" hidden="0">
      <x:c r="A196" s="8"/>
      <x:c r="B196" s="9" t="str">
        <x:v>Labour - plumber tartószerkezetek</x:v>
      </x:c>
      <x:c r="C196" s="7" t="str">
        <x:v>óra</x:v>
      </x:c>
      <x:c r="D196" s="16" t="n">
        <x:v>0.1</x:v>
      </x:c>
      <x:c r="E196" s="17" t="n">
        <x:f aca="0">E$189</x:f>
        <x:v>0</x:v>
      </x:c>
      <x:c r="F196" s="17" t="n">
        <x:f aca="0">D196*E196</x:f>
        <x:v>0</x:v>
      </x:c>
      <x:c r="G196" s="10"/>
      <x:c r="H196" s="17" t="n">
        <x:f aca="0">F196*G196</x:f>
        <x:v>0</x:v>
      </x:c>
      <x:c r="I196" s="9" t="str">
        <x:v>Munkaerő</x:v>
      </x:c>
      <x:c r="J196" s="9"/>
    </x:row>
    <x:row r="197" ht="15" hidden="0">
      <x:c r="A197" s="8"/>
      <x:c r="B197" s="9" t="str">
        <x:v>Boom lift / EWP (magas-rise)</x:v>
      </x:c>
      <x:c r="C197" s="7" t="str">
        <x:v>óra</x:v>
      </x:c>
      <x:c r="D197" s="16" t="n">
        <x:v>0.15</x:v>
      </x:c>
      <x:c r="E197" s="17" t="n">
        <x:f aca="0">E$189</x:f>
        <x:v>0</x:v>
      </x:c>
      <x:c r="F197" s="17" t="n">
        <x:f aca="0">D197*E197</x:f>
        <x:v>0</x:v>
      </x:c>
      <x:c r="G197" s="10"/>
      <x:c r="H197" s="17" t="n">
        <x:f aca="0">F197*G197</x:f>
        <x:v>0</x:v>
      </x:c>
      <x:c r="I197" s="9" t="str">
        <x:v>Gép</x:v>
      </x:c>
      <x:c r="J197" s="9" t="s">
        <x:v>229</x:v>
      </x:c>
    </x:row>
    <x:row r="198" ht="15" hidden="0">
      <x:c r="A198" s="18"/>
      <x:c r="B198" s="19" t="s">
        <x:v>230</x:v>
      </x:c>
      <x:c r="C198" s="18"/>
      <x:c r="D198" s="18"/>
      <x:c r="E198" s="18"/>
      <x:c r="F198" s="18"/>
      <x:c r="G198" s="18"/>
      <x:c r="H198" s="20" t="n">
        <x:f aca="0">SUM(H189:H197)</x:f>
        <x:v>0</x:v>
      </x:c>
      <x:c r="I198" s="18"/>
      <x:c r="J198" s="18"/>
    </x:row>
    <x:row r="200" ht="15" hidden="0">
      <x:c r="J200" s="13" t="s">
        <x:v>231</x:v>
      </x:c>
    </x:row>
    <x:row r="201" ht="15" hidden="0">
      <x:c r="A201" s="14" t="s">
        <x:v>155</x:v>
      </x:c>
      <x:c r="B201" s="15" t="s">
        <x:v>113</x:v>
      </x:c>
      <x:c r="C201" s="7" t="str">
        <x:v>db</x:v>
      </x:c>
      <x:c r="D201" s="16" t="n">
        <x:v>1</x:v>
      </x:c>
      <x:c r="E201" s="11" t="n">
        <x:f aca="0">'Plumbing QTO'!M109</x:f>
        <x:v>0</x:v>
      </x:c>
      <x:c r="F201" s="17" t="n">
        <x:f aca="0">D201*E201</x:f>
        <x:v>0</x:v>
      </x:c>
      <x:c r="G201" s="10"/>
      <x:c r="H201" s="17" t="n">
        <x:f aca="0">F201*G201</x:f>
        <x:v>0</x:v>
      </x:c>
      <x:c r="I201" s="9" t="str">
        <x:v>Tűzjelző / tűzvédelem</x:v>
      </x:c>
      <x:c r="J201" s="9" t="str">
        <x:v>csak anyagellátás</x:v>
      </x:c>
    </x:row>
    <x:row r="202" ht="15" hidden="0">
      <x:c r="A202" s="8"/>
      <x:c r="B202" s="9" t="str">
        <x:v>Drop cső (DN25 black acél, 1m)</x:v>
      </x:c>
      <x:c r="C202" s="7" t="str">
        <x:v>fm</x:v>
      </x:c>
      <x:c r="D202" s="16" t="n">
        <x:v>1</x:v>
      </x:c>
      <x:c r="E202" s="17" t="n">
        <x:f aca="0">E$201</x:f>
        <x:v>0</x:v>
      </x:c>
      <x:c r="F202" s="17" t="n">
        <x:f aca="0">D202*E202</x:f>
        <x:v>0</x:v>
      </x:c>
      <x:c r="G202" s="10"/>
      <x:c r="H202" s="17" t="n">
        <x:f aca="0">F202*G202</x:f>
        <x:v>0</x:v>
      </x:c>
      <x:c r="I202" s="9" t="str">
        <x:v>Tűzjelző / tűzvédelem</x:v>
      </x:c>
      <x:c r="J202" s="9" t="str">
        <x:v>From branch - head</x:v>
      </x:c>
    </x:row>
    <x:row r="203" ht="15" hidden="0">
      <x:c r="A203" s="8"/>
      <x:c r="B203" s="9" t="str">
        <x:v>cső idomok (drop tee + reducer)</x:v>
      </x:c>
      <x:c r="C203" s="7" t="str">
        <x:v>db</x:v>
      </x:c>
      <x:c r="D203" s="16" t="n">
        <x:v>2</x:v>
      </x:c>
      <x:c r="E203" s="17" t="n">
        <x:f aca="0">E$201</x:f>
        <x:v>0</x:v>
      </x:c>
      <x:c r="F203" s="17" t="n">
        <x:f aca="0">D203*E203</x:f>
        <x:v>0</x:v>
      </x:c>
      <x:c r="G203" s="10"/>
      <x:c r="H203" s="17" t="n">
        <x:f aca="0">F203*G203</x:f>
        <x:v>0</x:v>
      </x:c>
      <x:c r="I203" s="9" t="str">
        <x:v>Tűzjelző / tűzvédelem</x:v>
      </x:c>
      <x:c r="J203" s="9"/>
    </x:row>
    <x:row r="204" ht="15" hidden="0">
      <x:c r="A204" s="8"/>
      <x:c r="B204" s="9" t="str">
        <x:v>függesztő / drop bracket</x:v>
      </x:c>
      <x:c r="C204" s="7" t="str">
        <x:v>klt.</x:v>
      </x:c>
      <x:c r="D204" s="16" t="n">
        <x:v>1</x:v>
      </x:c>
      <x:c r="E204" s="17" t="n">
        <x:f aca="0">E$201</x:f>
        <x:v>0</x:v>
      </x:c>
      <x:c r="F204" s="17" t="n">
        <x:f aca="0">D204*E204</x:f>
        <x:v>0</x:v>
      </x:c>
      <x:c r="G204" s="10"/>
      <x:c r="H204" s="17" t="n">
        <x:f aca="0">F204*G204</x:f>
        <x:v>0</x:v>
      </x:c>
      <x:c r="I204" s="9" t="str">
        <x:v>Tűzjelző / tűzvédelem</x:v>
      </x:c>
      <x:c r="J204" s="9"/>
    </x:row>
    <x:row r="205" ht="15" hidden="0">
      <x:c r="A205" s="8"/>
      <x:c r="B205" s="9" t="s">
        <x:v>232</x:v>
      </x:c>
      <x:c r="C205" s="7" t="str">
        <x:v>db</x:v>
      </x:c>
      <x:c r="D205" s="16" t="n">
        <x:v>1</x:v>
      </x:c>
      <x:c r="E205" s="17" t="n">
        <x:f aca="0">E$201</x:f>
        <x:v>0</x:v>
      </x:c>
      <x:c r="F205" s="17" t="n">
        <x:f aca="0">D205*E205</x:f>
        <x:v>0</x:v>
      </x:c>
      <x:c r="G205" s="10"/>
      <x:c r="H205" s="17" t="n">
        <x:f aca="0">F205*G205</x:f>
        <x:v>0</x:v>
      </x:c>
      <x:c r="I205" s="9" t="str">
        <x:v>Tűzjelző / tűzvédelem</x:v>
      </x:c>
      <x:c r="J205" s="9"/>
    </x:row>
    <x:row r="206" ht="15" hidden="0">
      <x:c r="A206" s="8"/>
      <x:c r="B206" s="9" t="s">
        <x:v>233</x:v>
      </x:c>
      <x:c r="C206" s="7" t="str">
        <x:v>db</x:v>
      </x:c>
      <x:c r="D206" s="16" t="n">
        <x:v>1</x:v>
      </x:c>
      <x:c r="E206" s="17" t="n">
        <x:f aca="0">E$201</x:f>
        <x:v>0</x:v>
      </x:c>
      <x:c r="F206" s="17" t="n">
        <x:f aca="0">D206*E206</x:f>
        <x:v>0</x:v>
      </x:c>
      <x:c r="G206" s="10"/>
      <x:c r="H206" s="17" t="n">
        <x:f aca="0">F206*G206</x:f>
        <x:v>0</x:v>
      </x:c>
      <x:c r="I206" s="9" t="str">
        <x:v>Tűzjelző / tűzvédelem</x:v>
      </x:c>
      <x:c r="J206" s="9" t="s">
        <x:v>234</x:v>
      </x:c>
    </x:row>
    <x:row r="207" ht="15" hidden="0">
      <x:c r="A207" s="8"/>
      <x:c r="B207" s="9" t="str">
        <x:v>Thread tömítőanyag / PTFE szalag</x:v>
      </x:c>
      <x:c r="C207" s="7" t="str">
        <x:v>fm</x:v>
      </x:c>
      <x:c r="D207" s="16" t="n">
        <x:v>0.3</x:v>
      </x:c>
      <x:c r="E207" s="17" t="n">
        <x:f aca="0">E$201</x:f>
        <x:v>0</x:v>
      </x:c>
      <x:c r="F207" s="17" t="n">
        <x:f aca="0">D207*E207</x:f>
        <x:v>0</x:v>
      </x:c>
      <x:c r="G207" s="10"/>
      <x:c r="H207" s="17" t="n">
        <x:f aca="0">F207*G207</x:f>
        <x:v>0</x:v>
      </x:c>
      <x:c r="I207" s="9" t="str">
        <x:v>Tűzjelző / tűzvédelem</x:v>
      </x:c>
      <x:c r="J207" s="9"/>
    </x:row>
    <x:row r="208" ht="15" hidden="0">
      <x:c r="A208" s="8"/>
      <x:c r="B208" s="9" t="s">
        <x:v>235</x:v>
      </x:c>
      <x:c r="C208" s="7" t="str">
        <x:v>db</x:v>
      </x:c>
      <x:c r="D208" s="16" t="n">
        <x:v>0.05</x:v>
      </x:c>
      <x:c r="E208" s="17" t="n">
        <x:f aca="0">E$201</x:f>
        <x:v>0</x:v>
      </x:c>
      <x:c r="F208" s="17" t="n">
        <x:f aca="0">D208*E208</x:f>
        <x:v>0</x:v>
      </x:c>
      <x:c r="G208" s="10"/>
      <x:c r="H208" s="17" t="n">
        <x:f aca="0">F208*G208</x:f>
        <x:v>0</x:v>
      </x:c>
      <x:c r="I208" s="9" t="str">
        <x:v>Tűzjelző / tűzvédelem</x:v>
      </x:c>
      <x:c r="J208" s="9" t="s">
        <x:v>236</x:v>
      </x:c>
    </x:row>
    <x:row r="209" ht="15" hidden="0">
      <x:c r="A209" s="8"/>
      <x:c r="B209" s="9" t="str">
        <x:v>Labour - fire plumber szerelés</x:v>
      </x:c>
      <x:c r="C209" s="7" t="str">
        <x:v>óra</x:v>
      </x:c>
      <x:c r="D209" s="16" t="n">
        <x:v>0.5</x:v>
      </x:c>
      <x:c r="E209" s="17" t="n">
        <x:f aca="0">E$201</x:f>
        <x:v>0</x:v>
      </x:c>
      <x:c r="F209" s="17" t="n">
        <x:f aca="0">D209*E209</x:f>
        <x:v>0</x:v>
      </x:c>
      <x:c r="G209" s="10"/>
      <x:c r="H209" s="17" t="n">
        <x:f aca="0">F209*G209</x:f>
        <x:v>0</x:v>
      </x:c>
      <x:c r="I209" s="9" t="str">
        <x:v>Munkaerő</x:v>
      </x:c>
      <x:c r="J209" s="9" t="str">
        <x:v>Drop, csatlakoztatás, position</x:v>
      </x:c>
    </x:row>
    <x:row r="210" ht="15" hidden="0">
      <x:c r="A210" s="8"/>
      <x:c r="B210" s="9" t="s">
        <x:v>237</x:v>
      </x:c>
      <x:c r="C210" s="7" t="str">
        <x:v>óra</x:v>
      </x:c>
      <x:c r="D210" s="16" t="n">
        <x:v>0.15</x:v>
      </x:c>
      <x:c r="E210" s="17" t="n">
        <x:f aca="0">E$201</x:f>
        <x:v>0</x:v>
      </x:c>
      <x:c r="F210" s="17" t="n">
        <x:f aca="0">D210*E210</x:f>
        <x:v>0</x:v>
      </x:c>
      <x:c r="G210" s="10"/>
      <x:c r="H210" s="17" t="n">
        <x:f aca="0">F210*G210</x:f>
        <x:v>0</x:v>
      </x:c>
      <x:c r="I210" s="9" t="str">
        <x:v>Munkaerő</x:v>
      </x:c>
      <x:c r="J210" s="9" t="str">
        <x:v>Post-mennyezet</x:v>
      </x:c>
    </x:row>
    <x:row r="211" ht="15" hidden="0">
      <x:c r="A211" s="8"/>
      <x:c r="B211" s="9" t="str">
        <x:v>Labour - test &amp; commission (arányosítva)</x:v>
      </x:c>
      <x:c r="C211" s="7" t="str">
        <x:v>óra</x:v>
      </x:c>
      <x:c r="D211" s="16" t="n">
        <x:v>0.2</x:v>
      </x:c>
      <x:c r="E211" s="17" t="n">
        <x:f aca="0">E$201</x:f>
        <x:v>0</x:v>
      </x:c>
      <x:c r="F211" s="17" t="n">
        <x:f aca="0">D211*E211</x:f>
        <x:v>0</x:v>
      </x:c>
      <x:c r="G211" s="10"/>
      <x:c r="H211" s="17" t="n">
        <x:f aca="0">F211*G211</x:f>
        <x:v>0</x:v>
      </x:c>
      <x:c r="I211" s="9" t="str">
        <x:v>Munkaerő</x:v>
      </x:c>
      <x:c r="J211" s="9" t="str">
        <x:v> zone test allocation</x:v>
      </x:c>
    </x:row>
    <x:row r="212" ht="15" hidden="0">
      <x:c r="A212" s="8"/>
      <x:c r="B212" s="9" t="s">
        <x:v>193</x:v>
      </x:c>
      <x:c r="C212" s="7" t="str">
        <x:v>óra</x:v>
      </x:c>
      <x:c r="D212" s="16" t="n">
        <x:v>0.15</x:v>
      </x:c>
      <x:c r="E212" s="17" t="n">
        <x:f aca="0">E$201</x:f>
        <x:v>0</x:v>
      </x:c>
      <x:c r="F212" s="17" t="n">
        <x:f aca="0">D212*E212</x:f>
        <x:v>0</x:v>
      </x:c>
      <x:c r="G212" s="10"/>
      <x:c r="H212" s="17" t="n">
        <x:f aca="0">F212*G212</x:f>
        <x:v>0</x:v>
      </x:c>
      <x:c r="I212" s="9" t="str">
        <x:v>Gép</x:v>
      </x:c>
      <x:c r="J212" s="9"/>
    </x:row>
    <x:row r="213" ht="15" hidden="0">
      <x:c r="A213" s="18"/>
      <x:c r="B213" s="19" t="s">
        <x:v>238</x:v>
      </x:c>
      <x:c r="C213" s="18"/>
      <x:c r="D213" s="18"/>
      <x:c r="E213" s="18"/>
      <x:c r="F213" s="18"/>
      <x:c r="G213" s="18"/>
      <x:c r="H213" s="20" t="n">
        <x:f aca="0">SUM(H201:H212)</x:f>
        <x:v>0</x:v>
      </x:c>
      <x:c r="I213" s="18"/>
      <x:c r="J213" s="18"/>
    </x:row>
    <x:row r="215" ht="15" hidden="0">
      <x:c r="J215" s="13" t="s">
        <x:v>239</x:v>
      </x:c>
    </x:row>
    <x:row r="216" ht="15" hidden="0">
      <x:c r="A216" s="14" t="s">
        <x:v>155</x:v>
      </x:c>
      <x:c r="B216" s="15" t="str">
        <x:v>Sprinkler main - black acél (DN: ___)</x:v>
      </x:c>
      <x:c r="C216" s="7" t="str">
        <x:v>fm</x:v>
      </x:c>
      <x:c r="D216" s="16" t="n">
        <x:v>1</x:v>
      </x:c>
      <x:c r="E216" s="11" t="n">
        <x:f aca="0">'Plumbing QTO'!M113</x:f>
        <x:v>0</x:v>
      </x:c>
      <x:c r="F216" s="17" t="n">
        <x:f aca="0">D216*E216</x:f>
        <x:v>0</x:v>
      </x:c>
      <x:c r="G216" s="10"/>
      <x:c r="H216" s="17" t="n">
        <x:f aca="0">F216*G216</x:f>
        <x:v>0</x:v>
      </x:c>
      <x:c r="I216" s="9" t="str">
        <x:v>Tűzjelző / tűzvédelem</x:v>
      </x:c>
      <x:c r="J216" s="9" t="str">
        <x:v>csak anyagellátás</x:v>
      </x:c>
    </x:row>
    <x:row r="217" ht="15" hidden="0">
      <x:c r="A217" s="8"/>
      <x:c r="B217" s="9" t="str">
        <x:v>cső idomok (grooved couplings/könyök idomok)</x:v>
      </x:c>
      <x:c r="C217" s="7" t="str">
        <x:v>db</x:v>
      </x:c>
      <x:c r="D217" s="16" t="n">
        <x:v>0.5</x:v>
      </x:c>
      <x:c r="E217" s="17" t="n">
        <x:f aca="0">E$216</x:f>
        <x:v>0</x:v>
      </x:c>
      <x:c r="F217" s="17" t="n">
        <x:f aca="0">D217*E217</x:f>
        <x:v>0</x:v>
      </x:c>
      <x:c r="G217" s="10"/>
      <x:c r="H217" s="17" t="n">
        <x:f aca="0">F217*G217</x:f>
        <x:v>0</x:v>
      </x:c>
      <x:c r="I217" s="9" t="str">
        <x:v>Tűzjelző / tűzvédelem</x:v>
      </x:c>
      <x:c r="J217" s="9" t="s">
        <x:v>240</x:v>
      </x:c>
    </x:row>
    <x:row r="218" ht="15" hidden="0">
      <x:c r="A218" s="8"/>
      <x:c r="B218" s="9" t="str">
        <x:v>függesztő - swivel ring + menetes szár</x:v>
      </x:c>
      <x:c r="C218" s="7" t="str">
        <x:v>klt.</x:v>
      </x:c>
      <x:c r="D218" s="16" t="n">
        <x:v>0.5</x:v>
      </x:c>
      <x:c r="E218" s="17" t="n">
        <x:f aca="0">E$216</x:f>
        <x:v>0</x:v>
      </x:c>
      <x:c r="F218" s="17" t="n">
        <x:f aca="0">D218*E218</x:f>
        <x:v>0</x:v>
      </x:c>
      <x:c r="G218" s="10"/>
      <x:c r="H218" s="17" t="n">
        <x:f aca="0">F218*G218</x:f>
        <x:v>0</x:v>
      </x:c>
      <x:c r="I218" s="9" t="str">
        <x:v>Tűzjelző / tűzvédelem</x:v>
      </x:c>
      <x:c r="J218" s="9" t="s">
        <x:v>240</x:v>
      </x:c>
    </x:row>
    <x:row r="219" ht="15" hidden="0">
      <x:c r="A219" s="8"/>
      <x:c r="B219" s="9" t="s">
        <x:v>232</x:v>
      </x:c>
      <x:c r="C219" s="7" t="str">
        <x:v>db</x:v>
      </x:c>
      <x:c r="D219" s="16" t="n">
        <x:v>1</x:v>
      </x:c>
      <x:c r="E219" s="17" t="n">
        <x:f aca="0">E$216</x:f>
        <x:v>0</x:v>
      </x:c>
      <x:c r="F219" s="17" t="n">
        <x:f aca="0">D219*E219</x:f>
        <x:v>0</x:v>
      </x:c>
      <x:c r="G219" s="10"/>
      <x:c r="H219" s="17" t="n">
        <x:f aca="0">F219*G219</x:f>
        <x:v>0</x:v>
      </x:c>
      <x:c r="I219" s="9" t="str">
        <x:v>Tűzjelző / tűzvédelem</x:v>
      </x:c>
      <x:c r="J219" s="9" t="str">
        <x:v>2 per függesztő</x:v>
      </x:c>
    </x:row>
    <x:row r="220" ht="15" hidden="0">
      <x:c r="A220" s="8"/>
      <x:c r="B220" s="9" t="str">
        <x:v>menetes szár</x:v>
      </x:c>
      <x:c r="C220" s="7" t="str">
        <x:v>fm</x:v>
      </x:c>
      <x:c r="D220" s="16" t="n">
        <x:v>0.3</x:v>
      </x:c>
      <x:c r="E220" s="17" t="n">
        <x:f aca="0">E$216</x:f>
        <x:v>0</x:v>
      </x:c>
      <x:c r="F220" s="17" t="n">
        <x:f aca="0">D220*E220</x:f>
        <x:v>0</x:v>
      </x:c>
      <x:c r="G220" s="10"/>
      <x:c r="H220" s="17" t="n">
        <x:f aca="0">F220*G220</x:f>
        <x:v>0</x:v>
      </x:c>
      <x:c r="I220" s="9" t="str">
        <x:v>Tűzjelző / tűzvédelem</x:v>
      </x:c>
      <x:c r="J220" s="9" t="str">
        <x:v>0.6m drop átlagos</x:v>
      </x:c>
    </x:row>
    <x:row r="221" ht="15" hidden="0">
      <x:c r="A221" s="8"/>
      <x:c r="B221" s="9" t="s">
        <x:v>241</x:v>
      </x:c>
      <x:c r="C221" s="7" t="str">
        <x:v>klt.</x:v>
      </x:c>
      <x:c r="D221" s="16" t="n">
        <x:v>0.05</x:v>
      </x:c>
      <x:c r="E221" s="17" t="n">
        <x:f aca="0">E$216</x:f>
        <x:v>0</x:v>
      </x:c>
      <x:c r="F221" s="17" t="n">
        <x:f aca="0">D221*E221</x:f>
        <x:v>0</x:v>
      </x:c>
      <x:c r="G221" s="10"/>
      <x:c r="H221" s="17" t="n">
        <x:f aca="0">F221*G221</x:f>
        <x:v>0</x:v>
      </x:c>
      <x:c r="I221" s="9" t="str">
        <x:v>Tűzjelző / tűzvédelem</x:v>
      </x:c>
      <x:c r="J221" s="9" t="s">
        <x:v>242</x:v>
      </x:c>
    </x:row>
    <x:row r="222" ht="15" hidden="0">
      <x:c r="A222" s="8"/>
      <x:c r="B222" s="9" t="str">
        <x:v>cső identification (red)</x:v>
      </x:c>
      <x:c r="C222" s="7" t="str">
        <x:v>db</x:v>
      </x:c>
      <x:c r="D222" s="16" t="n">
        <x:v>0.2</x:v>
      </x:c>
      <x:c r="E222" s="17" t="n">
        <x:f aca="0">E$216</x:f>
        <x:v>0</x:v>
      </x:c>
      <x:c r="F222" s="17" t="n">
        <x:f aca="0">D222*E222</x:f>
        <x:v>0</x:v>
      </x:c>
      <x:c r="G222" s="10"/>
      <x:c r="H222" s="17" t="n">
        <x:f aca="0">F222*G222</x:f>
        <x:v>0</x:v>
      </x:c>
      <x:c r="I222" s="9" t="str">
        <x:v>Tűzjelző / tűzvédelem</x:v>
      </x:c>
      <x:c r="J222" s="9" t="s">
        <x:v>192</x:v>
      </x:c>
    </x:row>
    <x:row r="223" ht="15" hidden="0">
      <x:c r="A223" s="8"/>
      <x:c r="B223" s="9" t="str">
        <x:v>Sundries (festék, tömítőanyag, tags)</x:v>
      </x:c>
      <x:c r="C223" s="7" t="str">
        <x:v>fm</x:v>
      </x:c>
      <x:c r="D223" s="16" t="n">
        <x:v>1</x:v>
      </x:c>
      <x:c r="E223" s="17" t="n">
        <x:f aca="0">E$216</x:f>
        <x:v>0</x:v>
      </x:c>
      <x:c r="F223" s="17" t="n">
        <x:f aca="0">D223*E223</x:f>
        <x:v>0</x:v>
      </x:c>
      <x:c r="G223" s="10"/>
      <x:c r="H223" s="17" t="n">
        <x:f aca="0">F223*G223</x:f>
        <x:v>0</x:v>
      </x:c>
      <x:c r="I223" s="9" t="str">
        <x:v>Tűzjelző / tűzvédelem</x:v>
      </x:c>
      <x:c r="J223" s="9"/>
    </x:row>
    <x:row r="224" ht="15" hidden="0">
      <x:c r="A224" s="8"/>
      <x:c r="B224" s="9" t="str">
        <x:v>Labour - fire plumber szerelés</x:v>
      </x:c>
      <x:c r="C224" s="7" t="str">
        <x:v>óra</x:v>
      </x:c>
      <x:c r="D224" s="16" t="n">
        <x:v>0.4</x:v>
      </x:c>
      <x:c r="E224" s="17" t="n">
        <x:f aca="0">E$216</x:f>
        <x:v>0</x:v>
      </x:c>
      <x:c r="F224" s="17" t="n">
        <x:f aca="0">D224*E224</x:f>
        <x:v>0</x:v>
      </x:c>
      <x:c r="G224" s="10"/>
      <x:c r="H224" s="17" t="n">
        <x:f aca="0">F224*G224</x:f>
        <x:v>0</x:v>
      </x:c>
      <x:c r="I224" s="9" t="str">
        <x:v>Munkaerő</x:v>
      </x:c>
      <x:c r="J224" s="9" t="str">
        <x:v>Grooved roll-rétegen system</x:v>
      </x:c>
    </x:row>
    <x:row r="225" ht="15" hidden="0">
      <x:c r="A225" s="8"/>
      <x:c r="B225" s="9" t="str">
        <x:v>Labour - idomok &amp; jointing</x:v>
      </x:c>
      <x:c r="C225" s="7" t="str">
        <x:v>óra</x:v>
      </x:c>
      <x:c r="D225" s="16" t="n">
        <x:v>0.2</x:v>
      </x:c>
      <x:c r="E225" s="17" t="n">
        <x:f aca="0">E$216</x:f>
        <x:v>0</x:v>
      </x:c>
      <x:c r="F225" s="17" t="n">
        <x:f aca="0">D225*E225</x:f>
        <x:v>0</x:v>
      </x:c>
      <x:c r="G225" s="10"/>
      <x:c r="H225" s="17" t="n">
        <x:f aca="0">F225*G225</x:f>
        <x:v>0</x:v>
      </x:c>
      <x:c r="I225" s="9" t="str">
        <x:v>Munkaerő</x:v>
      </x:c>
      <x:c r="J225" s="9"/>
    </x:row>
    <x:row r="226" ht="15" hidden="0">
      <x:c r="A226" s="8"/>
      <x:c r="B226" s="9" t="str">
        <x:v>Labour - hangers &amp; tartószerkezetek</x:v>
      </x:c>
      <x:c r="C226" s="7" t="str">
        <x:v>óra</x:v>
      </x:c>
      <x:c r="D226" s="16" t="n">
        <x:v>0.15</x:v>
      </x:c>
      <x:c r="E226" s="17" t="n">
        <x:f aca="0">E$216</x:f>
        <x:v>0</x:v>
      </x:c>
      <x:c r="F226" s="17" t="n">
        <x:f aca="0">D226*E226</x:f>
        <x:v>0</x:v>
      </x:c>
      <x:c r="G226" s="10"/>
      <x:c r="H226" s="17" t="n">
        <x:f aca="0">F226*G226</x:f>
        <x:v>0</x:v>
      </x:c>
      <x:c r="I226" s="9" t="str">
        <x:v>Munkaerő</x:v>
      </x:c>
      <x:c r="J226" s="9"/>
    </x:row>
    <x:row r="227" ht="15" hidden="0">
      <x:c r="A227" s="8"/>
      <x:c r="B227" s="9" t="str">
        <x:v>Labour - hydrostatic test (arányosítva)</x:v>
      </x:c>
      <x:c r="C227" s="7" t="str">
        <x:v>óra</x:v>
      </x:c>
      <x:c r="D227" s="16" t="n">
        <x:v>0.05</x:v>
      </x:c>
      <x:c r="E227" s="17" t="n">
        <x:f aca="0">E$216</x:f>
        <x:v>0</x:v>
      </x:c>
      <x:c r="F227" s="17" t="n">
        <x:f aca="0">D227*E227</x:f>
        <x:v>0</x:v>
      </x:c>
      <x:c r="G227" s="10"/>
      <x:c r="H227" s="17" t="n">
        <x:f aca="0">F227*G227</x:f>
        <x:v>0</x:v>
      </x:c>
      <x:c r="I227" s="9" t="str">
        <x:v>Munkaerő</x:v>
      </x:c>
      <x:c r="J227" s="9"/>
    </x:row>
    <x:row r="228" ht="15" hidden="0">
      <x:c r="A228" s="8"/>
      <x:c r="B228" s="9" t="s">
        <x:v>193</x:v>
      </x:c>
      <x:c r="C228" s="7" t="str">
        <x:v>óra</x:v>
      </x:c>
      <x:c r="D228" s="16" t="n">
        <x:v>0.15</x:v>
      </x:c>
      <x:c r="E228" s="17" t="n">
        <x:f aca="0">E$216</x:f>
        <x:v>0</x:v>
      </x:c>
      <x:c r="F228" s="17" t="n">
        <x:f aca="0">D228*E228</x:f>
        <x:v>0</x:v>
      </x:c>
      <x:c r="G228" s="10"/>
      <x:c r="H228" s="17" t="n">
        <x:f aca="0">F228*G228</x:f>
        <x:v>0</x:v>
      </x:c>
      <x:c r="I228" s="9" t="str">
        <x:v>Gép</x:v>
      </x:c>
      <x:c r="J228" s="9"/>
    </x:row>
    <x:row r="229" ht="15" hidden="0">
      <x:c r="A229" s="18"/>
      <x:c r="B229" s="19" t="s">
        <x:v>243</x:v>
      </x:c>
      <x:c r="C229" s="18"/>
      <x:c r="D229" s="18"/>
      <x:c r="E229" s="18"/>
      <x:c r="F229" s="18"/>
      <x:c r="G229" s="18"/>
      <x:c r="H229" s="20" t="n">
        <x:f aca="0">SUM(H216:H228)</x:f>
        <x:v>0</x:v>
      </x:c>
      <x:c r="I229" s="18"/>
      <x:c r="J229" s="18"/>
    </x:row>
    <x:row r="231" ht="15" hidden="0">
      <x:c r="J231" s="13" t="s">
        <x:v>244</x:v>
      </x:c>
    </x:row>
    <x:row r="232" ht="15" hidden="0">
      <x:c r="A232" s="14" t="s">
        <x:v>155</x:v>
      </x:c>
      <x:c r="B232" s="15" t="str">
        <x:v>Fire hydrant - landing szelep</x:v>
      </x:c>
      <x:c r="C232" s="7" t="str">
        <x:v>db</x:v>
      </x:c>
      <x:c r="D232" s="16" t="n">
        <x:v>1</x:v>
      </x:c>
      <x:c r="E232" s="11" t="n">
        <x:f aca="0">'Plumbing QTO'!M120</x:f>
        <x:v>0</x:v>
      </x:c>
      <x:c r="F232" s="17" t="n">
        <x:f aca="0">D232*E232</x:f>
        <x:v>0</x:v>
      </x:c>
      <x:c r="G232" s="10"/>
      <x:c r="H232" s="17" t="n">
        <x:f aca="0">F232*G232</x:f>
        <x:v>0</x:v>
      </x:c>
      <x:c r="I232" s="9" t="str">
        <x:v>Tűzjelző / tűzvédelem</x:v>
      </x:c>
      <x:c r="J232" s="9" t="str">
        <x:v>csak anyagellátás</x:v>
      </x:c>
    </x:row>
    <x:row r="233" ht="15" hidden="0">
      <x:c r="A233" s="8"/>
      <x:c r="B233" s="9" t="s">
        <x:v>245</x:v>
      </x:c>
      <x:c r="C233" s="7" t="str">
        <x:v>db</x:v>
      </x:c>
      <x:c r="D233" s="16" t="n">
        <x:v>1</x:v>
      </x:c>
      <x:c r="E233" s="17" t="n">
        <x:f aca="0">E$232</x:f>
        <x:v>0</x:v>
      </x:c>
      <x:c r="F233" s="17" t="n">
        <x:f aca="0">D233*E233</x:f>
        <x:v>0</x:v>
      </x:c>
      <x:c r="G233" s="10"/>
      <x:c r="H233" s="17" t="n">
        <x:f aca="0">F233*G233</x:f>
        <x:v>0</x:v>
      </x:c>
      <x:c r="I233" s="9" t="str">
        <x:v>Tűzjelző / tűzvédelem</x:v>
      </x:c>
      <x:c r="J233" s="9"/>
    </x:row>
    <x:row r="234" ht="15" hidden="0">
      <x:c r="A234" s="8"/>
      <x:c r="B234" s="9" t="str">
        <x:v>Identification táblázás</x:v>
      </x:c>
      <x:c r="C234" s="7" t="str">
        <x:v>db</x:v>
      </x:c>
      <x:c r="D234" s="16" t="n">
        <x:v>1</x:v>
      </x:c>
      <x:c r="E234" s="17" t="n">
        <x:f aca="0">E$232</x:f>
        <x:v>0</x:v>
      </x:c>
      <x:c r="F234" s="17" t="n">
        <x:f aca="0">D234*E234</x:f>
        <x:v>0</x:v>
      </x:c>
      <x:c r="G234" s="10"/>
      <x:c r="H234" s="17" t="n">
        <x:f aca="0">F234*G234</x:f>
        <x:v>0</x:v>
      </x:c>
      <x:c r="I234" s="9" t="str">
        <x:v>Tűzjelző / tűzvédelem</x:v>
      </x:c>
      <x:c r="J234" s="9"/>
    </x:row>
    <x:row r="235" ht="15" hidden="0">
      <x:c r="A235" s="8"/>
      <x:c r="B235" s="9" t="s">
        <x:v>246</x:v>
      </x:c>
      <x:c r="C235" s="7" t="str">
        <x:v>db</x:v>
      </x:c>
      <x:c r="D235" s="16" t="n">
        <x:v>1</x:v>
      </x:c>
      <x:c r="E235" s="17" t="n">
        <x:f aca="0">E$232</x:f>
        <x:v>0</x:v>
      </x:c>
      <x:c r="F235" s="17" t="n">
        <x:f aca="0">D235*E235</x:f>
        <x:v>0</x:v>
      </x:c>
      <x:c r="G235" s="10"/>
      <x:c r="H235" s="17" t="n">
        <x:f aca="0">F235*G235</x:f>
        <x:v>0</x:v>
      </x:c>
      <x:c r="I235" s="9" t="str">
        <x:v>Tűzjelző / tűzvédelem</x:v>
      </x:c>
      <x:c r="J235" s="9"/>
    </x:row>
    <x:row r="236" ht="15" hidden="0">
      <x:c r="A236" s="8"/>
      <x:c r="B236" s="9" t="str">
        <x:v>Drop cső - landing szelep (1.5m)</x:v>
      </x:c>
      <x:c r="C236" s="7" t="str">
        <x:v>fm</x:v>
      </x:c>
      <x:c r="D236" s="16" t="n">
        <x:v>1.5</x:v>
      </x:c>
      <x:c r="E236" s="17" t="n">
        <x:f aca="0">E$232</x:f>
        <x:v>0</x:v>
      </x:c>
      <x:c r="F236" s="17" t="n">
        <x:f aca="0">D236*E236</x:f>
        <x:v>0</x:v>
      </x:c>
      <x:c r="G236" s="10"/>
      <x:c r="H236" s="17" t="n">
        <x:f aca="0">F236*G236</x:f>
        <x:v>0</x:v>
      </x:c>
      <x:c r="I236" s="9" t="str">
        <x:v>Tűzjelző / tűzvédelem</x:v>
      </x:c>
      <x:c r="J236" s="9"/>
    </x:row>
    <x:row r="237" ht="15" hidden="0">
      <x:c r="A237" s="8"/>
      <x:c r="B237" s="9" t="str">
        <x:v>cső idomok + isolation</x:v>
      </x:c>
      <x:c r="C237" s="7" t="str">
        <x:v>klt.</x:v>
      </x:c>
      <x:c r="D237" s="16" t="n">
        <x:v>1</x:v>
      </x:c>
      <x:c r="E237" s="17" t="n">
        <x:f aca="0">E$232</x:f>
        <x:v>0</x:v>
      </x:c>
      <x:c r="F237" s="17" t="n">
        <x:f aca="0">D237*E237</x:f>
        <x:v>0</x:v>
      </x:c>
      <x:c r="G237" s="10"/>
      <x:c r="H237" s="17" t="n">
        <x:f aca="0">F237*G237</x:f>
        <x:v>0</x:v>
      </x:c>
      <x:c r="I237" s="9" t="str">
        <x:v>Tűzjelző / tűzvédelem</x:v>
      </x:c>
      <x:c r="J237" s="9"/>
    </x:row>
    <x:row r="238" ht="15" hidden="0">
      <x:c r="A238" s="8"/>
      <x:c r="B238" s="9" t="str">
        <x:v>függesztő / tartószerkezetek</x:v>
      </x:c>
      <x:c r="C238" s="7" t="str">
        <x:v>klt.</x:v>
      </x:c>
      <x:c r="D238" s="16" t="n">
        <x:v>2</x:v>
      </x:c>
      <x:c r="E238" s="17" t="n">
        <x:f aca="0">E$232</x:f>
        <x:v>0</x:v>
      </x:c>
      <x:c r="F238" s="17" t="n">
        <x:f aca="0">D238*E238</x:f>
        <x:v>0</x:v>
      </x:c>
      <x:c r="G238" s="10"/>
      <x:c r="H238" s="17" t="n">
        <x:f aca="0">F238*G238</x:f>
        <x:v>0</x:v>
      </x:c>
      <x:c r="I238" s="9" t="str">
        <x:v>Tűzjelző / tűzvédelem</x:v>
      </x:c>
      <x:c r="J238" s="9"/>
    </x:row>
    <x:row r="239" ht="15" hidden="0">
      <x:c r="A239" s="8"/>
      <x:c r="B239" s="9" t="s">
        <x:v>247</x:v>
      </x:c>
      <x:c r="C239" s="7" t="str">
        <x:v>db</x:v>
      </x:c>
      <x:c r="D239" s="16" t="n">
        <x:v>4</x:v>
      </x:c>
      <x:c r="E239" s="17" t="n">
        <x:f aca="0">E$232</x:f>
        <x:v>0</x:v>
      </x:c>
      <x:c r="F239" s="17" t="n">
        <x:f aca="0">D239*E239</x:f>
        <x:v>0</x:v>
      </x:c>
      <x:c r="G239" s="10"/>
      <x:c r="H239" s="17" t="n">
        <x:f aca="0">F239*G239</x:f>
        <x:v>0</x:v>
      </x:c>
      <x:c r="I239" s="9" t="str">
        <x:v>Tűzjelző / tűzvédelem</x:v>
      </x:c>
      <x:c r="J239" s="9"/>
    </x:row>
    <x:row r="240" ht="15" hidden="0">
      <x:c r="A240" s="8"/>
      <x:c r="B240" s="9" t="str">
        <x:v>Labour - fire plumber szerelés</x:v>
      </x:c>
      <x:c r="C240" s="7" t="str">
        <x:v>óra</x:v>
      </x:c>
      <x:c r="D240" s="16" t="n">
        <x:v>2</x:v>
      </x:c>
      <x:c r="E240" s="17" t="n">
        <x:f aca="0">E$232</x:f>
        <x:v>0</x:v>
      </x:c>
      <x:c r="F240" s="17" t="n">
        <x:f aca="0">D240*E240</x:f>
        <x:v>0</x:v>
      </x:c>
      <x:c r="G240" s="10"/>
      <x:c r="H240" s="17" t="n">
        <x:f aca="0">F240*G240</x:f>
        <x:v>0</x:v>
      </x:c>
      <x:c r="I240" s="9" t="str">
        <x:v>Munkaerő</x:v>
      </x:c>
      <x:c r="J240" s="9" t="str">
        <x:v>Mount + csatlakoztatás</x:v>
      </x:c>
    </x:row>
    <x:row r="241" ht="15" hidden="0">
      <x:c r="A241" s="8"/>
      <x:c r="B241" s="9" t="str">
        <x:v>Labour - fit-off (cabinet &amp; szelep)</x:v>
      </x:c>
      <x:c r="C241" s="7" t="str">
        <x:v>óra</x:v>
      </x:c>
      <x:c r="D241" s="16" t="n">
        <x:v>1</x:v>
      </x:c>
      <x:c r="E241" s="17" t="n">
        <x:f aca="0">E$232</x:f>
        <x:v>0</x:v>
      </x:c>
      <x:c r="F241" s="17" t="n">
        <x:f aca="0">D241*E241</x:f>
        <x:v>0</x:v>
      </x:c>
      <x:c r="G241" s="10"/>
      <x:c r="H241" s="17" t="n">
        <x:f aca="0">F241*G241</x:f>
        <x:v>0</x:v>
      </x:c>
      <x:c r="I241" s="9" t="str">
        <x:v>Munkaerő</x:v>
      </x:c>
      <x:c r="J241" s="9"/>
    </x:row>
    <x:row r="242" ht="15" hidden="0">
      <x:c r="A242" s="8"/>
      <x:c r="B242" s="9" t="str">
        <x:v>Labour - flow test (per riser arányosítva)</x:v>
      </x:c>
      <x:c r="C242" s="7" t="str">
        <x:v>óra</x:v>
      </x:c>
      <x:c r="D242" s="16" t="n">
        <x:v>0.5</x:v>
      </x:c>
      <x:c r="E242" s="17" t="n">
        <x:f aca="0">E$232</x:f>
        <x:v>0</x:v>
      </x:c>
      <x:c r="F242" s="17" t="n">
        <x:f aca="0">D242*E242</x:f>
        <x:v>0</x:v>
      </x:c>
      <x:c r="G242" s="10"/>
      <x:c r="H242" s="17" t="n">
        <x:f aca="0">F242*G242</x:f>
        <x:v>0</x:v>
      </x:c>
      <x:c r="I242" s="9" t="str">
        <x:v>Munkaerő</x:v>
      </x:c>
      <x:c r="J242" s="9"/>
    </x:row>
    <x:row r="243" ht="15" hidden="0">
      <x:c r="A243" s="8"/>
      <x:c r="B243" s="9" t="s">
        <x:v>193</x:v>
      </x:c>
      <x:c r="C243" s="7" t="str">
        <x:v>óra</x:v>
      </x:c>
      <x:c r="D243" s="16" t="n">
        <x:v>0.5</x:v>
      </x:c>
      <x:c r="E243" s="17" t="n">
        <x:f aca="0">E$232</x:f>
        <x:v>0</x:v>
      </x:c>
      <x:c r="F243" s="17" t="n">
        <x:f aca="0">D243*E243</x:f>
        <x:v>0</x:v>
      </x:c>
      <x:c r="G243" s="10"/>
      <x:c r="H243" s="17" t="n">
        <x:f aca="0">F243*G243</x:f>
        <x:v>0</x:v>
      </x:c>
      <x:c r="I243" s="9" t="str">
        <x:v>Gép</x:v>
      </x:c>
      <x:c r="J243" s="9"/>
    </x:row>
    <x:row r="244" ht="15" hidden="0">
      <x:c r="A244" s="18"/>
      <x:c r="B244" s="19" t="s">
        <x:v>248</x:v>
      </x:c>
      <x:c r="C244" s="18"/>
      <x:c r="D244" s="18"/>
      <x:c r="E244" s="18"/>
      <x:c r="F244" s="18"/>
      <x:c r="G244" s="18"/>
      <x:c r="H244" s="20" t="n">
        <x:f aca="0">SUM(H232:H243)</x:f>
        <x:v>0</x:v>
      </x:c>
      <x:c r="I244" s="18"/>
      <x:c r="J244" s="18"/>
    </x:row>
    <x:row r="246" ht="15" hidden="0">
      <x:c r="J246" s="13" t="s">
        <x:v>249</x:v>
      </x:c>
    </x:row>
    <x:row r="247" ht="15" hidden="0">
      <x:c r="A247" s="14" t="s">
        <x:v>155</x:v>
      </x:c>
      <x:c r="B247" s="15" t="s">
        <x:v>130</x:v>
      </x:c>
      <x:c r="C247" s="7" t="str">
        <x:v>db</x:v>
      </x:c>
      <x:c r="D247" s="16" t="n">
        <x:v>1</x:v>
      </x:c>
      <x:c r="E247" s="11" t="n">
        <x:f aca="0">'Plumbing QTO'!M121</x:f>
        <x:v>0</x:v>
      </x:c>
      <x:c r="F247" s="17" t="n">
        <x:f aca="0">D247*E247</x:f>
        <x:v>0</x:v>
      </x:c>
      <x:c r="G247" s="10"/>
      <x:c r="H247" s="17" t="n">
        <x:f aca="0">F247*G247</x:f>
        <x:v>0</x:v>
      </x:c>
      <x:c r="I247" s="9" t="str">
        <x:v>Tűzjelző / tűzvédelem</x:v>
      </x:c>
      <x:c r="J247" s="9" t="str">
        <x:v>csak anyagellátás</x:v>
      </x:c>
    </x:row>
    <x:row r="248" ht="15" hidden="0">
      <x:c r="A248" s="8"/>
      <x:c r="B248" s="9" t="s">
        <x:v>250</x:v>
      </x:c>
      <x:c r="C248" s="7" t="str">
        <x:v>db</x:v>
      </x:c>
      <x:c r="D248" s="16" t="n">
        <x:v>1</x:v>
      </x:c>
      <x:c r="E248" s="17" t="n">
        <x:f aca="0">E$247</x:f>
        <x:v>0</x:v>
      </x:c>
      <x:c r="F248" s="17" t="n">
        <x:f aca="0">D248*E248</x:f>
        <x:v>0</x:v>
      </x:c>
      <x:c r="G248" s="10"/>
      <x:c r="H248" s="17" t="n">
        <x:f aca="0">F248*G248</x:f>
        <x:v>0</x:v>
      </x:c>
      <x:c r="I248" s="9" t="str">
        <x:v>Tűzjelző / tűzvédelem</x:v>
      </x:c>
      <x:c r="J248" s="9"/>
    </x:row>
    <x:row r="249" ht="15" hidden="0">
      <x:c r="A249" s="8"/>
      <x:c r="B249" s="9" t="str">
        <x:v>Identification táblázás</x:v>
      </x:c>
      <x:c r="C249" s="7" t="str">
        <x:v>db</x:v>
      </x:c>
      <x:c r="D249" s="16" t="n">
        <x:v>1</x:v>
      </x:c>
      <x:c r="E249" s="17" t="n">
        <x:f aca="0">E$247</x:f>
        <x:v>0</x:v>
      </x:c>
      <x:c r="F249" s="17" t="n">
        <x:f aca="0">D249*E249</x:f>
        <x:v>0</x:v>
      </x:c>
      <x:c r="G249" s="10"/>
      <x:c r="H249" s="17" t="n">
        <x:f aca="0">F249*G249</x:f>
        <x:v>0</x:v>
      </x:c>
      <x:c r="I249" s="9" t="str">
        <x:v>Tűzjelző / tűzvédelem</x:v>
      </x:c>
      <x:c r="J249" s="9"/>
    </x:row>
    <x:row r="250" ht="15" hidden="0">
      <x:c r="A250" s="8"/>
      <x:c r="B250" s="9" t="str">
        <x:v>Branch tee off main (DN25 befúvás)</x:v>
      </x:c>
      <x:c r="C250" s="7" t="str">
        <x:v>db</x:v>
      </x:c>
      <x:c r="D250" s="16" t="n">
        <x:v>1</x:v>
      </x:c>
      <x:c r="E250" s="17" t="n">
        <x:f aca="0">E$247</x:f>
        <x:v>0</x:v>
      </x:c>
      <x:c r="F250" s="17" t="n">
        <x:f aca="0">D250*E250</x:f>
        <x:v>0</x:v>
      </x:c>
      <x:c r="G250" s="10"/>
      <x:c r="H250" s="17" t="n">
        <x:f aca="0">F250*G250</x:f>
        <x:v>0</x:v>
      </x:c>
      <x:c r="I250" s="9" t="str">
        <x:v>Tűzjelző / tűzvédelem</x:v>
      </x:c>
      <x:c r="J250" s="9"/>
    </x:row>
    <x:row r="251" ht="15" hidden="0">
      <x:c r="A251" s="8"/>
      <x:c r="B251" s="9" t="str">
        <x:v>befúvás cső - reel (1.5m)</x:v>
      </x:c>
      <x:c r="C251" s="7" t="str">
        <x:v>fm</x:v>
      </x:c>
      <x:c r="D251" s="16" t="n">
        <x:v>1.5</x:v>
      </x:c>
      <x:c r="E251" s="17" t="n">
        <x:f aca="0">E$247</x:f>
        <x:v>0</x:v>
      </x:c>
      <x:c r="F251" s="17" t="n">
        <x:f aca="0">D251*E251</x:f>
        <x:v>0</x:v>
      </x:c>
      <x:c r="G251" s="10"/>
      <x:c r="H251" s="17" t="n">
        <x:f aca="0">F251*G251</x:f>
        <x:v>0</x:v>
      </x:c>
      <x:c r="I251" s="9" t="str">
        <x:v>Tűzjelző / tűzvédelem</x:v>
      </x:c>
      <x:c r="J251" s="9"/>
    </x:row>
    <x:row r="252" ht="15" hidden="0">
      <x:c r="A252" s="8"/>
      <x:c r="B252" s="9" t="str">
        <x:v>elzáró szelep</x:v>
      </x:c>
      <x:c r="C252" s="7" t="str">
        <x:v>db</x:v>
      </x:c>
      <x:c r="D252" s="16" t="n">
        <x:v>1</x:v>
      </x:c>
      <x:c r="E252" s="17" t="n">
        <x:f aca="0">E$247</x:f>
        <x:v>0</x:v>
      </x:c>
      <x:c r="F252" s="17" t="n">
        <x:f aca="0">D252*E252</x:f>
        <x:v>0</x:v>
      </x:c>
      <x:c r="G252" s="10"/>
      <x:c r="H252" s="17" t="n">
        <x:f aca="0">F252*G252</x:f>
        <x:v>0</x:v>
      </x:c>
      <x:c r="I252" s="9" t="str">
        <x:v>Tűzjelző / tűzvédelem</x:v>
      </x:c>
      <x:c r="J252" s="9"/>
    </x:row>
    <x:row r="253" ht="15" hidden="0">
      <x:c r="A253" s="8"/>
      <x:c r="B253" s="9" t="str">
        <x:v>cső idomok</x:v>
      </x:c>
      <x:c r="C253" s="7" t="str">
        <x:v>db</x:v>
      </x:c>
      <x:c r="D253" s="16" t="n">
        <x:v>3</x:v>
      </x:c>
      <x:c r="E253" s="17" t="n">
        <x:f aca="0">E$247</x:f>
        <x:v>0</x:v>
      </x:c>
      <x:c r="F253" s="17" t="n">
        <x:f aca="0">D253*E253</x:f>
        <x:v>0</x:v>
      </x:c>
      <x:c r="G253" s="10"/>
      <x:c r="H253" s="17" t="n">
        <x:f aca="0">F253*G253</x:f>
        <x:v>0</x:v>
      </x:c>
      <x:c r="I253" s="9" t="str">
        <x:v>Tűzjelző / tűzvédelem</x:v>
      </x:c>
      <x:c r="J253" s="9"/>
    </x:row>
    <x:row r="254" ht="15" hidden="0">
      <x:c r="A254" s="8"/>
      <x:c r="B254" s="9" t="str">
        <x:v>függesztő / konzolok</x:v>
      </x:c>
      <x:c r="C254" s="7" t="str">
        <x:v>klt.</x:v>
      </x:c>
      <x:c r="D254" s="16" t="n">
        <x:v>1</x:v>
      </x:c>
      <x:c r="E254" s="17" t="n">
        <x:f aca="0">E$247</x:f>
        <x:v>0</x:v>
      </x:c>
      <x:c r="F254" s="17" t="n">
        <x:f aca="0">D254*E254</x:f>
        <x:v>0</x:v>
      </x:c>
      <x:c r="G254" s="10"/>
      <x:c r="H254" s="17" t="n">
        <x:f aca="0">F254*G254</x:f>
        <x:v>0</x:v>
      </x:c>
      <x:c r="I254" s="9" t="str">
        <x:v>Tűzjelző / tűzvédelem</x:v>
      </x:c>
      <x:c r="J254" s="9"/>
    </x:row>
    <x:row r="255" ht="15" hidden="0">
      <x:c r="A255" s="8"/>
      <x:c r="B255" s="9" t="s">
        <x:v>247</x:v>
      </x:c>
      <x:c r="C255" s="7" t="str">
        <x:v>db</x:v>
      </x:c>
      <x:c r="D255" s="16" t="n">
        <x:v>4</x:v>
      </x:c>
      <x:c r="E255" s="17" t="n">
        <x:f aca="0">E$247</x:f>
        <x:v>0</x:v>
      </x:c>
      <x:c r="F255" s="17" t="n">
        <x:f aca="0">D255*E255</x:f>
        <x:v>0</x:v>
      </x:c>
      <x:c r="G255" s="10"/>
      <x:c r="H255" s="17" t="n">
        <x:f aca="0">F255*G255</x:f>
        <x:v>0</x:v>
      </x:c>
      <x:c r="I255" s="9" t="str">
        <x:v>Tűzjelző / tűzvédelem</x:v>
      </x:c>
      <x:c r="J255" s="9"/>
    </x:row>
    <x:row r="256" ht="15" hidden="0">
      <x:c r="A256" s="8"/>
      <x:c r="B256" s="9" t="str">
        <x:v>Labour - fire plumber szerelés</x:v>
      </x:c>
      <x:c r="C256" s="7" t="str">
        <x:v>óra</x:v>
      </x:c>
      <x:c r="D256" s="16" t="n">
        <x:v>1.5</x:v>
      </x:c>
      <x:c r="E256" s="17" t="n">
        <x:f aca="0">E$247</x:f>
        <x:v>0</x:v>
      </x:c>
      <x:c r="F256" s="17" t="n">
        <x:f aca="0">D256*E256</x:f>
        <x:v>0</x:v>
      </x:c>
      <x:c r="G256" s="10"/>
      <x:c r="H256" s="17" t="n">
        <x:f aca="0">F256*G256</x:f>
        <x:v>0</x:v>
      </x:c>
      <x:c r="I256" s="9" t="str">
        <x:v>Munkaerő</x:v>
      </x:c>
      <x:c r="J256" s="9"/>
    </x:row>
    <x:row r="257" ht="15" hidden="0">
      <x:c r="A257" s="8"/>
      <x:c r="B257" s="9" t="s">
        <x:v>251</x:v>
      </x:c>
      <x:c r="C257" s="7" t="str">
        <x:v>óra</x:v>
      </x:c>
      <x:c r="D257" s="16" t="n">
        <x:v>0.75</x:v>
      </x:c>
      <x:c r="E257" s="17" t="n">
        <x:f aca="0">E$247</x:f>
        <x:v>0</x:v>
      </x:c>
      <x:c r="F257" s="17" t="n">
        <x:f aca="0">D257*E257</x:f>
        <x:v>0</x:v>
      </x:c>
      <x:c r="G257" s="10"/>
      <x:c r="H257" s="17" t="n">
        <x:f aca="0">F257*G257</x:f>
        <x:v>0</x:v>
      </x:c>
      <x:c r="I257" s="9" t="str">
        <x:v>Munkaerő</x:v>
      </x:c>
      <x:c r="J257" s="9"/>
    </x:row>
    <x:row r="258" ht="15" hidden="0">
      <x:c r="A258" s="8"/>
      <x:c r="B258" s="9" t="s">
        <x:v>193</x:v>
      </x:c>
      <x:c r="C258" s="7" t="str">
        <x:v>óra</x:v>
      </x:c>
      <x:c r="D258" s="16" t="n">
        <x:v>0.4</x:v>
      </x:c>
      <x:c r="E258" s="17" t="n">
        <x:f aca="0">E$247</x:f>
        <x:v>0</x:v>
      </x:c>
      <x:c r="F258" s="17" t="n">
        <x:f aca="0">D258*E258</x:f>
        <x:v>0</x:v>
      </x:c>
      <x:c r="G258" s="10"/>
      <x:c r="H258" s="17" t="n">
        <x:f aca="0">F258*G258</x:f>
        <x:v>0</x:v>
      </x:c>
      <x:c r="I258" s="9" t="str">
        <x:v>Gép</x:v>
      </x:c>
      <x:c r="J258" s="9"/>
    </x:row>
    <x:row r="259" ht="15" hidden="0">
      <x:c r="A259" s="18"/>
      <x:c r="B259" s="19" t="s">
        <x:v>252</x:v>
      </x:c>
      <x:c r="C259" s="18"/>
      <x:c r="D259" s="18"/>
      <x:c r="E259" s="18"/>
      <x:c r="F259" s="18"/>
      <x:c r="G259" s="18"/>
      <x:c r="H259" s="20" t="n">
        <x:f aca="0">SUM(H247:H258)</x:f>
        <x:v>0</x:v>
      </x:c>
      <x:c r="I259" s="18"/>
      <x:c r="J259" s="18"/>
    </x:row>
    <x:row r="262" ht="21.75" hidden="0" customHeight="1">
      <x:c r="A262" s="21" t="s">
        <x:v>253</x:v>
      </x:c>
      <x:c r="B262" s="21"/>
      <x:c r="C262" s="21"/>
    </x:row>
    <x:row r="263" ht="28.350000381469727" hidden="0" customHeight="1">
      <x:c r="A263" s="20" t="s">
        <x:v>254</x:v>
      </x:c>
      <x:c r="B263" s="22" t="str">
        <x:v>Megnevezés / műszaki leírás</x:v>
      </x:c>
      <x:c r="C263" s="22"/>
      <x:c r="D263" s="22"/>
      <x:c r="E263" s="22"/>
      <x:c r="F263" s="22"/>
      <x:c r="G263" s="22"/>
      <x:c r="H263" s="20" t="s">
        <x:v>255</x:v>
      </x:c>
    </x:row>
    <x:row r="264" ht="15" hidden="0" customHeight="1">
      <x:c r="A264" s="7" t="n">
        <x:v>1</x:v>
      </x:c>
      <x:c r="B264" s="9" t="str">
        <x:v>WC álló kivitelű (monoblokkos)</x:v>
      </x:c>
      <x:c r="C264" s="9"/>
      <x:c r="D264" s="9"/>
      <x:c r="E264" s="9"/>
      <x:c r="F264" s="9"/>
      <x:c r="G264" s="9"/>
      <x:c r="H264" s="7" t="n">
        <x:f aca="0">H22</x:f>
        <x:v>0</x:v>
      </x:c>
    </x:row>
    <x:row r="265" ht="15" hidden="0" customHeight="1">
      <x:c r="A265" s="7" t="n">
        <x:v>2</x:v>
      </x:c>
      <x:c r="B265" s="9" t="str">
        <x:v>WC fali kivitelű (falba épített öblítőtartály)</x:v>
      </x:c>
      <x:c r="C265" s="9"/>
      <x:c r="D265" s="9"/>
      <x:c r="E265" s="9"/>
      <x:c r="F265" s="9"/>
      <x:c r="G265" s="9"/>
      <x:c r="H265" s="7" t="n">
        <x:f aca="0">H41</x:f>
        <x:v>0</x:v>
      </x:c>
    </x:row>
    <x:row r="266" ht="15" hidden="0" customHeight="1">
      <x:c r="A266" s="7" t="n">
        <x:v>3</x:v>
      </x:c>
      <x:c r="B266" s="9" t="str">
        <x:v>mosdó — fali kivitelű</x:v>
      </x:c>
      <x:c r="C266" s="9"/>
      <x:c r="D266" s="9"/>
      <x:c r="E266" s="9"/>
      <x:c r="F266" s="9"/>
      <x:c r="G266" s="9"/>
      <x:c r="H266" s="7" t="n">
        <x:f aca="0">H60</x:f>
        <x:v>0</x:v>
      </x:c>
    </x:row>
    <x:row r="267" ht="15" hidden="0" customHeight="1">
      <x:c r="A267" s="7" t="n">
        <x:v>4</x:v>
      </x:c>
      <x:c r="B267" s="9" t="s">
        <x:v>256</x:v>
      </x:c>
      <x:c r="C267" s="9"/>
      <x:c r="D267" s="9"/>
      <x:c r="E267" s="9"/>
      <x:c r="F267" s="9"/>
      <x:c r="G267" s="9"/>
      <x:c r="H267" s="7" t="n">
        <x:f aca="0">H79</x:f>
        <x:v>0</x:v>
      </x:c>
    </x:row>
    <x:row r="268" ht="15" hidden="0" customHeight="1">
      <x:c r="A268" s="7" t="n">
        <x:v>5</x:v>
      </x:c>
      <x:c r="B268" s="9" t="str">
        <x:v>piszoár — fali kivitelű (érzékelő öblítés)</x:v>
      </x:c>
      <x:c r="C268" s="9"/>
      <x:c r="D268" s="9"/>
      <x:c r="E268" s="9"/>
      <x:c r="F268" s="9"/>
      <x:c r="G268" s="9"/>
      <x:c r="H268" s="7" t="n">
        <x:f aca="0">H97</x:f>
        <x:v>0</x:v>
      </x:c>
    </x:row>
    <x:row r="269" ht="15" hidden="0" customHeight="1">
      <x:c r="A269" s="7" t="n">
        <x:v>6</x:v>
      </x:c>
      <x:c r="B269" s="9" t="str">
        <x:v>réz cső — hidegvíz (folyóméterenként, DN20)</x:v>
      </x:c>
      <x:c r="C269" s="9"/>
      <x:c r="D269" s="9"/>
      <x:c r="E269" s="9"/>
      <x:c r="F269" s="9"/>
      <x:c r="G269" s="9"/>
      <x:c r="H269" s="7" t="n">
        <x:f aca="0">H113</x:f>
        <x:v>0</x:v>
      </x:c>
    </x:row>
    <x:row r="270" ht="15" hidden="0" customHeight="1">
      <x:c r="A270" s="7" t="n">
        <x:v>7</x:v>
      </x:c>
      <x:c r="B270" s="9" t="str">
        <x:v>PPR cső — hidegvíz (folyóméterenként, DN25)</x:v>
      </x:c>
      <x:c r="C270" s="9"/>
      <x:c r="D270" s="9"/>
      <x:c r="E270" s="9"/>
      <x:c r="F270" s="9"/>
      <x:c r="G270" s="9"/>
      <x:c r="H270" s="7" t="n">
        <x:f aca="0">H128</x:f>
        <x:v>0</x:v>
      </x:c>
    </x:row>
    <x:row r="271" ht="15" hidden="0" customHeight="1">
      <x:c r="A271" s="7" t="n">
        <x:v>8</x:v>
      </x:c>
      <x:c r="B271" s="9" t="str">
        <x:v>melegvíz Unit — elektromos raktár</x:v>
      </x:c>
      <x:c r="C271" s="9"/>
      <x:c r="D271" s="9"/>
      <x:c r="E271" s="9"/>
      <x:c r="F271" s="9"/>
      <x:c r="G271" s="9"/>
      <x:c r="H271" s="7" t="n">
        <x:f aca="0">H145</x:f>
        <x:v>0</x:v>
      </x:c>
    </x:row>
    <x:row r="272" ht="15" hidden="0" customHeight="1">
      <x:c r="A272" s="7" t="n">
        <x:v>9</x:v>
      </x:c>
      <x:c r="B272" s="9" t="str">
        <x:v>PVC vízelvezetés — Above Ground (folyóméterenként, DN100)</x:v>
      </x:c>
      <x:c r="C272" s="9"/>
      <x:c r="D272" s="9"/>
      <x:c r="E272" s="9"/>
      <x:c r="F272" s="9"/>
      <x:c r="G272" s="9"/>
      <x:c r="H272" s="7" t="n">
        <x:f aca="0">H160</x:f>
        <x:v>0</x:v>
      </x:c>
    </x:row>
    <x:row r="273" ht="15" hidden="0" customHeight="1">
      <x:c r="A273" s="7" t="n">
        <x:v>10</x:v>
      </x:c>
      <x:c r="B273" s="9" t="str">
        <x:v>PVC vízelvezetés — Below Ground (folyóméterenként, DN100)</x:v>
      </x:c>
      <x:c r="C273" s="9"/>
      <x:c r="D273" s="9"/>
      <x:c r="E273" s="9"/>
      <x:c r="F273" s="9"/>
      <x:c r="G273" s="9"/>
      <x:c r="H273" s="7" t="n">
        <x:f aca="0">H173</x:f>
        <x:v>0</x:v>
      </x:c>
    </x:row>
    <x:row r="274" ht="15" hidden="0" customHeight="1">
      <x:c r="A274" s="7" t="n">
        <x:v>11</x:v>
      </x:c>
      <x:c r="B274" s="9" t="str">
        <x:v>padló Waste / padló Gully</x:v>
      </x:c>
      <x:c r="C274" s="9"/>
      <x:c r="D274" s="9"/>
      <x:c r="E274" s="9"/>
      <x:c r="F274" s="9"/>
      <x:c r="G274" s="9"/>
      <x:c r="H274" s="7" t="n">
        <x:f aca="0">H186</x:f>
        <x:v>0</x:v>
      </x:c>
    </x:row>
    <x:row r="275" ht="15" hidden="0" customHeight="1">
      <x:c r="A275" s="7" t="n">
        <x:v>12</x:v>
      </x:c>
      <x:c r="B275" s="9" t="str">
        <x:v>csapadékvíz Downpipe (folyóméterenként, DN100 PVC)</x:v>
      </x:c>
      <x:c r="C275" s="9"/>
      <x:c r="D275" s="9"/>
      <x:c r="E275" s="9"/>
      <x:c r="F275" s="9"/>
      <x:c r="G275" s="9"/>
      <x:c r="H275" s="7" t="n">
        <x:f aca="0">H198</x:f>
        <x:v>0</x:v>
      </x:c>
    </x:row>
    <x:row r="276" ht="15" hidden="0" customHeight="1">
      <x:c r="A276" s="7" t="n">
        <x:v>13</x:v>
      </x:c>
      <x:c r="B276" s="9" t="s">
        <x:v>257</x:v>
      </x:c>
      <x:c r="C276" s="9"/>
      <x:c r="D276" s="9"/>
      <x:c r="E276" s="9"/>
      <x:c r="F276" s="9"/>
      <x:c r="G276" s="9"/>
      <x:c r="H276" s="7" t="n">
        <x:f aca="0">H213</x:f>
        <x:v>0</x:v>
      </x:c>
    </x:row>
    <x:row r="277" ht="15" hidden="0" customHeight="1">
      <x:c r="A277" s="7" t="n">
        <x:v>14</x:v>
      </x:c>
      <x:c r="B277" s="9" t="str">
        <x:v>Sprinkler Main — Black acél (folyóméterenként)</x:v>
      </x:c>
      <x:c r="C277" s="9"/>
      <x:c r="D277" s="9"/>
      <x:c r="E277" s="9"/>
      <x:c r="F277" s="9"/>
      <x:c r="G277" s="9"/>
      <x:c r="H277" s="7" t="n">
        <x:f aca="0">H229</x:f>
        <x:v>0</x:v>
      </x:c>
    </x:row>
    <x:row r="278" ht="15" hidden="0" customHeight="1">
      <x:c r="A278" s="7" t="n">
        <x:v>15</x:v>
      </x:c>
      <x:c r="B278" s="9" t="str">
        <x:v>Fire Hydrant — Landing szelep</x:v>
      </x:c>
      <x:c r="C278" s="9"/>
      <x:c r="D278" s="9"/>
      <x:c r="E278" s="9"/>
      <x:c r="F278" s="9"/>
      <x:c r="G278" s="9"/>
      <x:c r="H278" s="7" t="n">
        <x:f aca="0">H244</x:f>
        <x:v>0</x:v>
      </x:c>
    </x:row>
    <x:row r="279" ht="15" hidden="0" customHeight="1">
      <x:c r="A279" s="7" t="n">
        <x:v>16</x:v>
      </x:c>
      <x:c r="B279" s="9" t="s">
        <x:v>258</x:v>
      </x:c>
      <x:c r="C279" s="9"/>
      <x:c r="D279" s="9"/>
      <x:c r="E279" s="9"/>
      <x:c r="F279" s="9"/>
      <x:c r="G279" s="9"/>
      <x:c r="H279" s="7" t="n">
        <x:f aca="0">H259</x:f>
        <x:v>0</x:v>
      </x:c>
    </x:row>
    <x:row r="280" ht="21.75" hidden="0" customHeight="1">
      <x:c r="A280" s="23" t="s">
        <x:v>259</x:v>
      </x:c>
      <x:c r="B280" s="23"/>
      <x:c r="C280" s="23"/>
      <x:c r="D280" s="23"/>
      <x:c r="E280" s="23"/>
      <x:c r="F280" s="23"/>
      <x:c r="G280" s="23"/>
      <x:c r="H280" s="24" t="n">
        <x:f aca="0">H22+H41+H60+H79+H97+H113+H128+H145+H160+H173+H186+H198+H213+H229+H244+H259</x:f>
        <x:v>0</x:v>
      </x:c>
    </x:row>
  </x:sheetData>
  <x:mergeCells>
    <x:mergeCell ref="A1:J1"/>
    <x:mergeCell ref="A2:J2"/>
    <x:mergeCell ref="A262:C262"/>
    <x:mergeCell ref="B263:G263"/>
    <x:mergeCell ref="B264:G264"/>
    <x:mergeCell ref="B265:G265"/>
    <x:mergeCell ref="B266:G266"/>
    <x:mergeCell ref="B267:G267"/>
    <x:mergeCell ref="B268:G268"/>
    <x:mergeCell ref="B269:G269"/>
    <x:mergeCell ref="B270:G270"/>
    <x:mergeCell ref="B271:G271"/>
    <x:mergeCell ref="B272:G272"/>
    <x:mergeCell ref="B273:G273"/>
    <x:mergeCell ref="B274:G274"/>
    <x:mergeCell ref="B275:G275"/>
    <x:mergeCell ref="B276:G276"/>
    <x:mergeCell ref="B277:G277"/>
    <x:mergeCell ref="B278:G278"/>
    <x:mergeCell ref="B279:G279"/>
    <x:mergeCell ref="A280:G280"/>
  </x:mergeCells>
  <x:pageMargins left="0.7" right="0.7" top="0.75" bottom="0.75" header="0.3" footer="0.3"/>
</x:worksheet>
</file>